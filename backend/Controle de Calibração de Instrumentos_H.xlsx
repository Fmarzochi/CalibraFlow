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V:\Tecnico\1. Aferição\1 - Relatórios\"/>
    </mc:Choice>
  </mc:AlternateContent>
  <xr:revisionPtr revIDLastSave="0" documentId="13_ncr:1_{BFC218C0-4003-4915-9232-83CBE95BB5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  <sheet name="Periodicidade" sheetId="2" r:id="rId2"/>
    <sheet name="Planilha1" sheetId="3" r:id="rId3"/>
  </sheets>
  <definedNames>
    <definedName name="_xlnm._FilterDatabase" localSheetId="1" hidden="1">Periodicidade!$A$3:$D$84</definedName>
    <definedName name="_xlnm._FilterDatabase" localSheetId="0" hidden="1">Plan1!$A$5:$M$708</definedName>
    <definedName name="_xlnm.Print_Area" localSheetId="1">Periodicidade!$A:$C</definedName>
    <definedName name="_xlnm.Print_Area" localSheetId="0">Plan1!$A$1:$L$708</definedName>
    <definedName name="_xlnm.Print_Titles" localSheetId="0">Plan1!$1:$5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3" i="1" l="1"/>
  <c r="K266" i="1"/>
  <c r="K234" i="1"/>
  <c r="K253" i="1"/>
  <c r="K254" i="1"/>
  <c r="K252" i="1"/>
  <c r="K251" i="1"/>
  <c r="K255" i="1"/>
  <c r="K256" i="1"/>
  <c r="K257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35" i="1"/>
  <c r="K664" i="1"/>
  <c r="K305" i="1"/>
  <c r="K304" i="1"/>
  <c r="K153" i="1"/>
  <c r="K154" i="1"/>
  <c r="K155" i="1"/>
  <c r="K156" i="1"/>
  <c r="K157" i="1"/>
  <c r="K158" i="1"/>
  <c r="K222" i="1"/>
  <c r="K223" i="1"/>
  <c r="K514" i="1"/>
  <c r="K513" i="1"/>
  <c r="K501" i="1"/>
  <c r="K502" i="1"/>
  <c r="K221" i="1"/>
  <c r="K684" i="1"/>
  <c r="K512" i="1"/>
  <c r="K418" i="1"/>
  <c r="K295" i="1"/>
  <c r="K296" i="1"/>
  <c r="K19" i="1"/>
  <c r="K229" i="1"/>
  <c r="K228" i="1"/>
  <c r="K227" i="1"/>
  <c r="K22" i="1"/>
  <c r="K491" i="1"/>
  <c r="K468" i="1"/>
  <c r="K674" i="1"/>
  <c r="K391" i="1"/>
  <c r="K388" i="1"/>
  <c r="K167" i="1"/>
  <c r="K190" i="1"/>
  <c r="K219" i="1"/>
  <c r="K218" i="1"/>
  <c r="K217" i="1"/>
  <c r="K215" i="1"/>
  <c r="K216" i="1"/>
  <c r="K259" i="1"/>
  <c r="K258" i="1"/>
  <c r="K683" i="1"/>
  <c r="K511" i="1"/>
  <c r="K521" i="1"/>
  <c r="K520" i="1"/>
  <c r="K226" i="1"/>
  <c r="K225" i="1"/>
  <c r="K224" i="1"/>
  <c r="K519" i="1"/>
  <c r="K274" i="1"/>
  <c r="K273" i="1"/>
  <c r="K291" i="1"/>
  <c r="K290" i="1"/>
  <c r="K650" i="1"/>
  <c r="K649" i="1"/>
  <c r="K648" i="1"/>
  <c r="K647" i="1"/>
  <c r="K646" i="1"/>
  <c r="K645" i="1"/>
  <c r="K644" i="1"/>
  <c r="K643" i="1"/>
  <c r="K642" i="1"/>
  <c r="K641" i="1"/>
  <c r="K403" i="1"/>
  <c r="K399" i="1"/>
  <c r="K141" i="1"/>
  <c r="K144" i="1"/>
  <c r="K143" i="1"/>
  <c r="K142" i="1"/>
  <c r="K162" i="1"/>
  <c r="K510" i="1"/>
  <c r="K509" i="1"/>
  <c r="K439" i="1"/>
  <c r="K518" i="1"/>
  <c r="K663" i="1"/>
  <c r="K693" i="1"/>
  <c r="K220" i="1"/>
  <c r="K503" i="1"/>
  <c r="K392" i="1"/>
  <c r="K99" i="1"/>
  <c r="K100" i="1"/>
  <c r="K98" i="1"/>
  <c r="K637" i="1"/>
  <c r="K638" i="1"/>
  <c r="K639" i="1"/>
  <c r="K640" i="1"/>
  <c r="K621" i="1"/>
  <c r="K619" i="1"/>
  <c r="K617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20" i="1"/>
  <c r="K618" i="1"/>
  <c r="K616" i="1"/>
  <c r="K615" i="1"/>
  <c r="K614" i="1"/>
  <c r="K366" i="1"/>
  <c r="K365" i="1"/>
  <c r="K364" i="1"/>
  <c r="K363" i="1"/>
  <c r="K362" i="1"/>
  <c r="K358" i="1"/>
  <c r="K359" i="1"/>
  <c r="K360" i="1"/>
  <c r="K361" i="1"/>
  <c r="K357" i="1"/>
  <c r="K356" i="1"/>
  <c r="K355" i="1"/>
  <c r="K354" i="1"/>
  <c r="K353" i="1"/>
  <c r="K105" i="1"/>
  <c r="K106" i="1"/>
  <c r="K107" i="1"/>
  <c r="K102" i="1"/>
  <c r="K103" i="1"/>
  <c r="K104" i="1"/>
  <c r="K101" i="1"/>
  <c r="K97" i="1"/>
  <c r="K96" i="1"/>
  <c r="K139" i="1"/>
  <c r="K58" i="1"/>
  <c r="K57" i="1"/>
  <c r="K56" i="1"/>
  <c r="K682" i="1" l="1"/>
  <c r="K681" i="1"/>
  <c r="K517" i="1"/>
  <c r="K680" i="1"/>
  <c r="K145" i="1"/>
  <c r="K116" i="1"/>
  <c r="K118" i="1"/>
  <c r="K117" i="1"/>
  <c r="K119" i="1"/>
  <c r="K285" i="1"/>
  <c r="K115" i="1"/>
  <c r="K51" i="1"/>
  <c r="K44" i="1"/>
  <c r="K34" i="1"/>
  <c r="K20" i="1"/>
  <c r="K8" i="1"/>
  <c r="K15" i="1"/>
  <c r="K196" i="1"/>
  <c r="K197" i="1"/>
  <c r="K508" i="1"/>
  <c r="K161" i="1"/>
  <c r="K348" i="1"/>
  <c r="K349" i="1"/>
  <c r="K350" i="1"/>
  <c r="K351" i="1"/>
  <c r="K352" i="1"/>
  <c r="K347" i="1"/>
  <c r="K135" i="1"/>
  <c r="K136" i="1"/>
  <c r="K137" i="1"/>
  <c r="K138" i="1"/>
  <c r="K613" i="1"/>
  <c r="K612" i="1"/>
  <c r="K611" i="1"/>
  <c r="K610" i="1"/>
  <c r="K609" i="1"/>
  <c r="K608" i="1"/>
  <c r="K271" i="1"/>
  <c r="K604" i="1"/>
  <c r="K605" i="1"/>
  <c r="K606" i="1"/>
  <c r="K607" i="1"/>
  <c r="K280" i="1"/>
  <c r="K18" i="1"/>
  <c r="K603" i="1"/>
  <c r="K343" i="1"/>
  <c r="K344" i="1"/>
  <c r="K345" i="1"/>
  <c r="K346" i="1"/>
  <c r="K457" i="1"/>
  <c r="K461" i="1"/>
  <c r="K460" i="1"/>
  <c r="K458" i="1"/>
  <c r="K459" i="1"/>
  <c r="K489" i="1"/>
  <c r="K490" i="1"/>
  <c r="K492" i="1"/>
  <c r="K488" i="1"/>
  <c r="K672" i="1"/>
  <c r="K602" i="1"/>
  <c r="K601" i="1"/>
  <c r="K497" i="1"/>
  <c r="K187" i="1" l="1"/>
  <c r="K193" i="1"/>
  <c r="K184" i="1"/>
  <c r="K182" i="1"/>
  <c r="K180" i="1"/>
  <c r="K178" i="1"/>
  <c r="K177" i="1"/>
  <c r="K174" i="1"/>
  <c r="K179" i="1"/>
  <c r="K195" i="1"/>
  <c r="K194" i="1"/>
  <c r="K192" i="1"/>
  <c r="K191" i="1"/>
  <c r="K189" i="1"/>
  <c r="K188" i="1"/>
  <c r="K186" i="1"/>
  <c r="K185" i="1"/>
  <c r="K183" i="1"/>
  <c r="K181" i="1"/>
  <c r="K176" i="1"/>
  <c r="K175" i="1"/>
  <c r="K172" i="1"/>
  <c r="K173" i="1"/>
  <c r="K171" i="1"/>
  <c r="K170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08" i="1"/>
  <c r="K45" i="1"/>
  <c r="K42" i="1"/>
  <c r="K88" i="1"/>
  <c r="K89" i="1"/>
  <c r="K299" i="1"/>
  <c r="K298" i="1"/>
  <c r="K303" i="1" l="1"/>
  <c r="K301" i="1"/>
  <c r="K302" i="1"/>
  <c r="K676" i="1"/>
  <c r="K677" i="1"/>
  <c r="K678" i="1"/>
  <c r="K679" i="1"/>
  <c r="K675" i="1"/>
  <c r="K397" i="1"/>
  <c r="K657" i="1"/>
  <c r="K151" i="1"/>
  <c r="K150" i="1"/>
  <c r="K41" i="1"/>
  <c r="K400" i="1"/>
  <c r="K297" i="1"/>
  <c r="K417" i="1"/>
  <c r="K437" i="1"/>
  <c r="K434" i="1"/>
  <c r="K498" i="1"/>
  <c r="K495" i="1"/>
  <c r="K707" i="1"/>
  <c r="K699" i="1"/>
  <c r="K36" i="1"/>
  <c r="K599" i="1"/>
  <c r="K476" i="1"/>
  <c r="K464" i="1"/>
  <c r="K463" i="1"/>
  <c r="K401" i="1"/>
  <c r="K282" i="1"/>
  <c r="K292" i="1"/>
  <c r="K289" i="1"/>
  <c r="K230" i="1"/>
  <c r="K265" i="1"/>
  <c r="K165" i="1"/>
  <c r="K77" i="1"/>
  <c r="K63" i="1"/>
  <c r="K30" i="1"/>
  <c r="K35" i="1"/>
  <c r="K23" i="1"/>
  <c r="K17" i="1"/>
  <c r="K538" i="1"/>
  <c r="K600" i="1"/>
  <c r="K585" i="1"/>
  <c r="K133" i="1"/>
  <c r="K123" i="1"/>
  <c r="K109" i="1"/>
  <c r="K662" i="1"/>
  <c r="K531" i="1"/>
  <c r="K708" i="1"/>
  <c r="K706" i="1"/>
  <c r="K705" i="1"/>
  <c r="K704" i="1"/>
  <c r="K703" i="1"/>
  <c r="K702" i="1"/>
  <c r="K701" i="1"/>
  <c r="K700" i="1"/>
  <c r="K698" i="1"/>
  <c r="K697" i="1"/>
  <c r="K696" i="1"/>
  <c r="K695" i="1"/>
  <c r="K694" i="1"/>
  <c r="K692" i="1"/>
  <c r="K691" i="1"/>
  <c r="K690" i="1"/>
  <c r="K689" i="1"/>
  <c r="K688" i="1"/>
  <c r="K687" i="1"/>
  <c r="K686" i="1"/>
  <c r="K685" i="1"/>
  <c r="K671" i="1"/>
  <c r="K673" i="1"/>
  <c r="K656" i="1"/>
  <c r="K655" i="1"/>
  <c r="K583" i="1"/>
  <c r="K582" i="1"/>
  <c r="K660" i="1"/>
  <c r="K659" i="1"/>
  <c r="K658" i="1"/>
  <c r="K562" i="1"/>
  <c r="K561" i="1"/>
  <c r="K560" i="1"/>
  <c r="K558" i="1"/>
  <c r="K553" i="1"/>
  <c r="K552" i="1"/>
  <c r="K551" i="1"/>
  <c r="K550" i="1"/>
  <c r="K537" i="1"/>
  <c r="K529" i="1"/>
  <c r="K528" i="1"/>
  <c r="K527" i="1"/>
  <c r="K526" i="1"/>
  <c r="K525" i="1"/>
  <c r="K540" i="1"/>
  <c r="K524" i="1"/>
  <c r="K523" i="1"/>
  <c r="K522" i="1"/>
  <c r="K541" i="1"/>
  <c r="K539" i="1"/>
  <c r="K557" i="1"/>
  <c r="K556" i="1"/>
  <c r="K555" i="1"/>
  <c r="K554" i="1"/>
  <c r="K536" i="1"/>
  <c r="K535" i="1"/>
  <c r="K534" i="1"/>
  <c r="K506" i="1"/>
  <c r="K544" i="1"/>
  <c r="K543" i="1"/>
  <c r="K533" i="1"/>
  <c r="K532" i="1"/>
  <c r="K530" i="1"/>
  <c r="K549" i="1"/>
  <c r="K563" i="1"/>
  <c r="K598" i="1"/>
  <c r="K654" i="1"/>
  <c r="K652" i="1"/>
  <c r="K651" i="1"/>
  <c r="K597" i="1"/>
  <c r="K596" i="1"/>
  <c r="K584" i="1"/>
  <c r="K595" i="1"/>
  <c r="K594" i="1"/>
  <c r="K593" i="1"/>
  <c r="K592" i="1"/>
  <c r="K591" i="1"/>
  <c r="K590" i="1"/>
  <c r="K589" i="1"/>
  <c r="K581" i="1"/>
  <c r="K588" i="1"/>
  <c r="K545" i="1"/>
  <c r="K546" i="1"/>
  <c r="K547" i="1"/>
  <c r="K548" i="1"/>
  <c r="K559" i="1"/>
  <c r="K587" i="1"/>
  <c r="K542" i="1"/>
  <c r="K586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653" i="1"/>
  <c r="K661" i="1"/>
  <c r="K516" i="1"/>
  <c r="K515" i="1"/>
  <c r="K507" i="1"/>
  <c r="K505" i="1"/>
  <c r="K504" i="1"/>
  <c r="K500" i="1"/>
  <c r="K499" i="1"/>
  <c r="K496" i="1"/>
  <c r="K494" i="1"/>
  <c r="K493" i="1"/>
  <c r="K487" i="1"/>
  <c r="K486" i="1"/>
  <c r="K485" i="1"/>
  <c r="K484" i="1"/>
  <c r="K483" i="1"/>
  <c r="K482" i="1"/>
  <c r="K481" i="1"/>
  <c r="K480" i="1"/>
  <c r="K479" i="1"/>
  <c r="K478" i="1"/>
  <c r="K477" i="1"/>
  <c r="K475" i="1"/>
  <c r="K474" i="1"/>
  <c r="K473" i="1"/>
  <c r="K472" i="1"/>
  <c r="K471" i="1"/>
  <c r="K470" i="1"/>
  <c r="K469" i="1"/>
  <c r="K467" i="1"/>
  <c r="K466" i="1"/>
  <c r="K465" i="1"/>
  <c r="K462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8" i="1"/>
  <c r="K436" i="1"/>
  <c r="K435" i="1"/>
  <c r="K433" i="1"/>
  <c r="K432" i="1"/>
  <c r="K431" i="1"/>
  <c r="K430" i="1"/>
  <c r="K428" i="1"/>
  <c r="K427" i="1"/>
  <c r="K426" i="1"/>
  <c r="K425" i="1"/>
  <c r="K424" i="1"/>
  <c r="K423" i="1"/>
  <c r="K422" i="1"/>
  <c r="K421" i="1"/>
  <c r="K420" i="1"/>
  <c r="K419" i="1"/>
  <c r="K416" i="1"/>
  <c r="K415" i="1"/>
  <c r="K414" i="1"/>
  <c r="K408" i="1"/>
  <c r="K407" i="1"/>
  <c r="K406" i="1"/>
  <c r="K405" i="1"/>
  <c r="K404" i="1"/>
  <c r="K402" i="1"/>
  <c r="K398" i="1"/>
  <c r="K396" i="1"/>
  <c r="K395" i="1"/>
  <c r="K394" i="1"/>
  <c r="K393" i="1"/>
  <c r="K389" i="1"/>
  <c r="K386" i="1"/>
  <c r="K385" i="1"/>
  <c r="K379" i="1"/>
  <c r="K378" i="1"/>
  <c r="K333" i="1"/>
  <c r="K332" i="1"/>
  <c r="K331" i="1"/>
  <c r="K330" i="1"/>
  <c r="K387" i="1"/>
  <c r="K384" i="1"/>
  <c r="K383" i="1"/>
  <c r="K382" i="1"/>
  <c r="K381" i="1"/>
  <c r="K380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06" i="1"/>
  <c r="K312" i="1"/>
  <c r="K311" i="1"/>
  <c r="K310" i="1"/>
  <c r="K309" i="1"/>
  <c r="K308" i="1"/>
  <c r="K307" i="1"/>
  <c r="K294" i="1"/>
  <c r="K300" i="1"/>
  <c r="K288" i="1"/>
  <c r="K287" i="1"/>
  <c r="K286" i="1"/>
  <c r="K284" i="1"/>
  <c r="K283" i="1"/>
  <c r="K281" i="1"/>
  <c r="K279" i="1"/>
  <c r="K263" i="1"/>
  <c r="K262" i="1"/>
  <c r="K261" i="1"/>
  <c r="K260" i="1"/>
  <c r="K264" i="1"/>
  <c r="K270" i="1"/>
  <c r="K269" i="1"/>
  <c r="K233" i="1"/>
  <c r="K232" i="1"/>
  <c r="K231" i="1"/>
  <c r="K169" i="1"/>
  <c r="K168" i="1"/>
  <c r="K159" i="1"/>
  <c r="K152" i="1"/>
  <c r="K149" i="1"/>
  <c r="K148" i="1"/>
  <c r="K147" i="1"/>
  <c r="K146" i="1"/>
  <c r="K140" i="1"/>
  <c r="K134" i="1"/>
  <c r="K132" i="1"/>
  <c r="K131" i="1"/>
  <c r="K130" i="1"/>
  <c r="K129" i="1"/>
  <c r="K128" i="1"/>
  <c r="K127" i="1"/>
  <c r="K126" i="1"/>
  <c r="K125" i="1"/>
  <c r="K124" i="1"/>
  <c r="K122" i="1"/>
  <c r="K121" i="1"/>
  <c r="K120" i="1"/>
  <c r="K114" i="1"/>
  <c r="K113" i="1"/>
  <c r="K112" i="1"/>
  <c r="K111" i="1"/>
  <c r="K110" i="1"/>
  <c r="K166" i="1"/>
  <c r="K164" i="1"/>
  <c r="K160" i="1"/>
  <c r="K95" i="1"/>
  <c r="K94" i="1"/>
  <c r="K93" i="1"/>
  <c r="K92" i="1"/>
  <c r="K91" i="1"/>
  <c r="K90" i="1"/>
  <c r="K86" i="1"/>
  <c r="K87" i="1"/>
  <c r="K85" i="1"/>
  <c r="K83" i="1"/>
  <c r="K84" i="1"/>
  <c r="K82" i="1"/>
  <c r="K81" i="1"/>
  <c r="K80" i="1"/>
  <c r="K79" i="1"/>
  <c r="K78" i="1"/>
  <c r="K76" i="1"/>
  <c r="K75" i="1"/>
  <c r="K74" i="1"/>
  <c r="K73" i="1"/>
  <c r="K72" i="1"/>
  <c r="K71" i="1"/>
  <c r="K70" i="1"/>
  <c r="K69" i="1"/>
  <c r="K68" i="1"/>
  <c r="K67" i="1"/>
  <c r="K62" i="1"/>
  <c r="K390" i="1"/>
  <c r="K61" i="1"/>
  <c r="K52" i="1"/>
  <c r="K60" i="1"/>
  <c r="K55" i="1"/>
  <c r="K59" i="1"/>
  <c r="K50" i="1"/>
  <c r="K49" i="1"/>
  <c r="K54" i="1"/>
  <c r="K48" i="1"/>
  <c r="K47" i="1"/>
  <c r="K46" i="1"/>
  <c r="K43" i="1"/>
  <c r="K40" i="1"/>
  <c r="K33" i="1"/>
  <c r="K32" i="1"/>
  <c r="K31" i="1"/>
  <c r="K29" i="1"/>
  <c r="K28" i="1"/>
  <c r="K27" i="1"/>
  <c r="K26" i="1"/>
  <c r="K25" i="1"/>
  <c r="K24" i="1"/>
  <c r="K21" i="1"/>
  <c r="K16" i="1"/>
  <c r="K13" i="1"/>
  <c r="K12" i="1"/>
  <c r="K11" i="1"/>
  <c r="K10" i="1"/>
  <c r="K9" i="1"/>
  <c r="K7" i="1"/>
  <c r="K6" i="1"/>
  <c r="K275" i="1"/>
  <c r="K276" i="1"/>
  <c r="K277" i="1"/>
  <c r="K278" i="1"/>
  <c r="K369" i="1"/>
  <c r="K335" i="1"/>
  <c r="K336" i="1"/>
  <c r="K429" i="1"/>
  <c r="K53" i="1"/>
  <c r="K370" i="1"/>
  <c r="K371" i="1"/>
  <c r="K372" i="1"/>
  <c r="K373" i="1"/>
  <c r="K374" i="1"/>
  <c r="K375" i="1"/>
  <c r="K376" i="1"/>
  <c r="K368" i="1"/>
  <c r="K367" i="1"/>
  <c r="K342" i="1" l="1"/>
  <c r="K327" i="1" l="1"/>
  <c r="K328" i="1"/>
  <c r="K326" i="1"/>
  <c r="K341" i="1" l="1"/>
  <c r="K334" i="1"/>
  <c r="K377" i="1"/>
  <c r="K337" i="1"/>
  <c r="K338" i="1"/>
  <c r="K339" i="1"/>
  <c r="K340" i="1"/>
  <c r="K14" i="1"/>
</calcChain>
</file>

<file path=xl/sharedStrings.xml><?xml version="1.0" encoding="utf-8"?>
<sst xmlns="http://schemas.openxmlformats.org/spreadsheetml/2006/main" count="5896" uniqueCount="1610">
  <si>
    <t>NÚMERO:</t>
  </si>
  <si>
    <t>REVISÃO:</t>
  </si>
  <si>
    <t>Descrição</t>
  </si>
  <si>
    <t>Fabricante</t>
  </si>
  <si>
    <t>Patrimônio</t>
  </si>
  <si>
    <t>Modelo</t>
  </si>
  <si>
    <t>Laboratório de Calibração</t>
  </si>
  <si>
    <t>Data da Calibração</t>
  </si>
  <si>
    <t>Minipa</t>
  </si>
  <si>
    <t>ET-3810</t>
  </si>
  <si>
    <t>Número de Série</t>
  </si>
  <si>
    <t>Data Próxima Calibração</t>
  </si>
  <si>
    <t>CONTROLE DE CALIBRAÇÃO DE INSTRUMENTO</t>
  </si>
  <si>
    <t>N/C</t>
  </si>
  <si>
    <t>Certificado de Calibração nº</t>
  </si>
  <si>
    <t>ET-3200A</t>
  </si>
  <si>
    <t>METRUS</t>
  </si>
  <si>
    <t>Carbografite</t>
  </si>
  <si>
    <t>CAS-022</t>
  </si>
  <si>
    <t>Calibre de Solda</t>
  </si>
  <si>
    <t>Stanley</t>
  </si>
  <si>
    <t>TAG</t>
  </si>
  <si>
    <t>46-536</t>
  </si>
  <si>
    <t>MI2700000204</t>
  </si>
  <si>
    <t>MI-2700</t>
  </si>
  <si>
    <t>Multimetro Digital</t>
  </si>
  <si>
    <t>ET-2651</t>
  </si>
  <si>
    <t>Nível de Bolha</t>
  </si>
  <si>
    <t>42-886</t>
  </si>
  <si>
    <t>Mitutoyo</t>
  </si>
  <si>
    <t>Régua Graduada</t>
  </si>
  <si>
    <t>Brasfort</t>
  </si>
  <si>
    <t>ES-006</t>
  </si>
  <si>
    <t>Termohigrometro Digital</t>
  </si>
  <si>
    <t>MT-242</t>
  </si>
  <si>
    <t>Fluke</t>
  </si>
  <si>
    <t>9568-0669</t>
  </si>
  <si>
    <t>MT-1520008134</t>
  </si>
  <si>
    <t>MTR-1520D</t>
  </si>
  <si>
    <t>C012688</t>
  </si>
  <si>
    <t>Torquimetro de Estalo</t>
  </si>
  <si>
    <t>Lufkin</t>
  </si>
  <si>
    <t>L516CME</t>
  </si>
  <si>
    <t>Trena - 3000 mm</t>
  </si>
  <si>
    <t>Instrutherm</t>
  </si>
  <si>
    <t>NC</t>
  </si>
  <si>
    <t>Starrett</t>
  </si>
  <si>
    <t>Esquadro de Precisão</t>
  </si>
  <si>
    <t>Vonder</t>
  </si>
  <si>
    <t>Thompson</t>
  </si>
  <si>
    <t>ET-320A290748</t>
  </si>
  <si>
    <t>ET-2651001482</t>
  </si>
  <si>
    <t>Fasímetro</t>
  </si>
  <si>
    <t>Instrum</t>
  </si>
  <si>
    <t>Paquimetro Quadrimensional</t>
  </si>
  <si>
    <t>TR-099</t>
  </si>
  <si>
    <t>Calibre de Solda - Hi-Lo</t>
  </si>
  <si>
    <t>CAS-025</t>
  </si>
  <si>
    <t>CE-CG298</t>
  </si>
  <si>
    <t>Termometro Bimetálico</t>
  </si>
  <si>
    <t>Record</t>
  </si>
  <si>
    <t>Termometro Infravermelho</t>
  </si>
  <si>
    <t>Naka</t>
  </si>
  <si>
    <t>Classe 1 ABNT</t>
  </si>
  <si>
    <t>Obra/Local</t>
  </si>
  <si>
    <t>Metal Check</t>
  </si>
  <si>
    <t>TD201C</t>
  </si>
  <si>
    <t>LAF METROLOGIA</t>
  </si>
  <si>
    <t xml:space="preserve">Balança </t>
  </si>
  <si>
    <t>Filizola</t>
  </si>
  <si>
    <t>3115/2008</t>
  </si>
  <si>
    <t>MF-6/1</t>
  </si>
  <si>
    <t>T000400003268</t>
  </si>
  <si>
    <t>MT-350</t>
  </si>
  <si>
    <t>Alicate Amperimetro</t>
  </si>
  <si>
    <t xml:space="preserve">Luxímetro </t>
  </si>
  <si>
    <t xml:space="preserve">Minipa </t>
  </si>
  <si>
    <t>BAL-001</t>
  </si>
  <si>
    <t>TB-001</t>
  </si>
  <si>
    <t>TER/IF-001</t>
  </si>
  <si>
    <t>ML1011003128</t>
  </si>
  <si>
    <t>MLM-1011</t>
  </si>
  <si>
    <t>ESQ-248/A</t>
  </si>
  <si>
    <t>NIV-001</t>
  </si>
  <si>
    <t>Trena</t>
  </si>
  <si>
    <t>Transferidor de Grau</t>
  </si>
  <si>
    <t>Protactor</t>
  </si>
  <si>
    <t>NO-5001</t>
  </si>
  <si>
    <t>GO-001</t>
  </si>
  <si>
    <t>GO-002</t>
  </si>
  <si>
    <t xml:space="preserve">Yoke </t>
  </si>
  <si>
    <t>Super-Magna</t>
  </si>
  <si>
    <t>CP-318</t>
  </si>
  <si>
    <t>Pastilha Sensora</t>
  </si>
  <si>
    <t>Detector de Fuga de Gás</t>
  </si>
  <si>
    <t>Central Brasil</t>
  </si>
  <si>
    <t>Relógio Comparador</t>
  </si>
  <si>
    <t>CCI-INS-001</t>
  </si>
  <si>
    <t>DATA ÚLTIMA ALTERAÇÃO:</t>
  </si>
  <si>
    <t>ALMOXARIFADO</t>
  </si>
  <si>
    <t>Monitor de Gás</t>
  </si>
  <si>
    <t>MT-241</t>
  </si>
  <si>
    <t>Gedore</t>
  </si>
  <si>
    <t>n/c</t>
  </si>
  <si>
    <t>FLX-001</t>
  </si>
  <si>
    <t>Tubo Decantador Graduado - Tipo Pera</t>
  </si>
  <si>
    <t>VID-001</t>
  </si>
  <si>
    <t>Goniometro</t>
  </si>
  <si>
    <t>Protractor</t>
  </si>
  <si>
    <t>Paquimetro</t>
  </si>
  <si>
    <t>BG076780</t>
  </si>
  <si>
    <t>530-114B-10</t>
  </si>
  <si>
    <t>PAQ-011</t>
  </si>
  <si>
    <t>MTR</t>
  </si>
  <si>
    <t>PS-031</t>
  </si>
  <si>
    <t xml:space="preserve">Salvi </t>
  </si>
  <si>
    <t>Controlador de Temperatura</t>
  </si>
  <si>
    <t>Coel</t>
  </si>
  <si>
    <t>CT-002</t>
  </si>
  <si>
    <t>TLK48</t>
  </si>
  <si>
    <t>TR-097</t>
  </si>
  <si>
    <t>Irwin</t>
  </si>
  <si>
    <t>TR-005</t>
  </si>
  <si>
    <t>CAS-015</t>
  </si>
  <si>
    <t>Instemac</t>
  </si>
  <si>
    <t xml:space="preserve">Autonics </t>
  </si>
  <si>
    <t>CT-001</t>
  </si>
  <si>
    <t>TCN4S-24R</t>
  </si>
  <si>
    <t>CAS-033</t>
  </si>
  <si>
    <t xml:space="preserve">Paquimetro </t>
  </si>
  <si>
    <t>PAQ-012</t>
  </si>
  <si>
    <t xml:space="preserve">Torquimetro </t>
  </si>
  <si>
    <t>Tramontina</t>
  </si>
  <si>
    <t>94962-11-00514</t>
  </si>
  <si>
    <t>45506/400</t>
  </si>
  <si>
    <t>ET2651001482</t>
  </si>
  <si>
    <t>LUX-001</t>
  </si>
  <si>
    <t>NI-051</t>
  </si>
  <si>
    <t>TR-096</t>
  </si>
  <si>
    <t>TR-095</t>
  </si>
  <si>
    <t>ESQ-071</t>
  </si>
  <si>
    <t>ET-320A322399</t>
  </si>
  <si>
    <t>NI-283/A</t>
  </si>
  <si>
    <t>MAC-7000</t>
  </si>
  <si>
    <t>ESQ-139/A</t>
  </si>
  <si>
    <t>ESQ-09/A</t>
  </si>
  <si>
    <t>MAC-7012</t>
  </si>
  <si>
    <t>TR-526</t>
  </si>
  <si>
    <t>ESQ-001</t>
  </si>
  <si>
    <t>NIV-032</t>
  </si>
  <si>
    <t>TR-004</t>
  </si>
  <si>
    <t>NI-032</t>
  </si>
  <si>
    <t>87V</t>
  </si>
  <si>
    <t>N1598-1081</t>
  </si>
  <si>
    <t>40440566WS</t>
  </si>
  <si>
    <t>40440567WS</t>
  </si>
  <si>
    <t>BW Tecnologies</t>
  </si>
  <si>
    <t>KA418-6000687</t>
  </si>
  <si>
    <t>Balança Digital</t>
  </si>
  <si>
    <t>Welmy</t>
  </si>
  <si>
    <t>BCW6/15/30</t>
  </si>
  <si>
    <t>Peso Padrão</t>
  </si>
  <si>
    <t>CP-1040</t>
  </si>
  <si>
    <t>LAFTEC</t>
  </si>
  <si>
    <t>Tubo Colorido</t>
  </si>
  <si>
    <t>N-1598-1105</t>
  </si>
  <si>
    <t>GAS ALERT</t>
  </si>
  <si>
    <t>CLEAN ENVIROMENT</t>
  </si>
  <si>
    <t>IN 816060-24418</t>
  </si>
  <si>
    <t>ET Class</t>
  </si>
  <si>
    <t>ETC-CX</t>
  </si>
  <si>
    <t>TECNICA CALIB.</t>
  </si>
  <si>
    <t>TRE-077</t>
  </si>
  <si>
    <t>D0688001-0618</t>
  </si>
  <si>
    <t>NIV-006</t>
  </si>
  <si>
    <t>D0688002-0618</t>
  </si>
  <si>
    <t>D0688003-0618</t>
  </si>
  <si>
    <t>CAS-030</t>
  </si>
  <si>
    <t>PAQ-009</t>
  </si>
  <si>
    <t>530-115</t>
  </si>
  <si>
    <t>Alicate Amperimetro Digital</t>
  </si>
  <si>
    <t>E0688001-0618</t>
  </si>
  <si>
    <t>Instrutemp</t>
  </si>
  <si>
    <t>ITPH-3000</t>
  </si>
  <si>
    <t>INSTRUTEMP</t>
  </si>
  <si>
    <t>Medidor de pH e Condutividade</t>
  </si>
  <si>
    <t>Nível Digital</t>
  </si>
  <si>
    <t>Bosch</t>
  </si>
  <si>
    <t>GIM602</t>
  </si>
  <si>
    <t>ASTA</t>
  </si>
  <si>
    <t>E0688001-0718</t>
  </si>
  <si>
    <t>82002N99</t>
  </si>
  <si>
    <t>82002N9B</t>
  </si>
  <si>
    <t>82002N9C</t>
  </si>
  <si>
    <t>Classe A1 ABNT</t>
  </si>
  <si>
    <t>HD-05-DC</t>
  </si>
  <si>
    <t>Ecil</t>
  </si>
  <si>
    <t>CCP-001</t>
  </si>
  <si>
    <t>CCP-01</t>
  </si>
  <si>
    <t>Cappo Plus</t>
  </si>
  <si>
    <t>KA418-6003918</t>
  </si>
  <si>
    <t>TR-395</t>
  </si>
  <si>
    <t>TX34-5M</t>
  </si>
  <si>
    <t>D0688001-1118</t>
  </si>
  <si>
    <t>TR-396</t>
  </si>
  <si>
    <t>D0688002-1118</t>
  </si>
  <si>
    <t>TR-397</t>
  </si>
  <si>
    <t>D0688003-1118</t>
  </si>
  <si>
    <t>TR-394</t>
  </si>
  <si>
    <t>D0688005-1118</t>
  </si>
  <si>
    <t>TR-398</t>
  </si>
  <si>
    <t>ESQ-112/A</t>
  </si>
  <si>
    <t>ESQ-111/A</t>
  </si>
  <si>
    <t>D0688008-1118</t>
  </si>
  <si>
    <t>ESQ-027</t>
  </si>
  <si>
    <t>D0688009-1118</t>
  </si>
  <si>
    <t>ESQ-110/A</t>
  </si>
  <si>
    <t>D0688010-1118</t>
  </si>
  <si>
    <t>ESQ-093</t>
  </si>
  <si>
    <t>NI-157</t>
  </si>
  <si>
    <t>NI-158</t>
  </si>
  <si>
    <t>D0688013-1118</t>
  </si>
  <si>
    <t>NI-159</t>
  </si>
  <si>
    <t>D0688014-1118</t>
  </si>
  <si>
    <t>D0688015-1118</t>
  </si>
  <si>
    <t>NI-156/A</t>
  </si>
  <si>
    <t>THOMPSON</t>
  </si>
  <si>
    <t>Ultrassom Automatizado</t>
  </si>
  <si>
    <t>Olympus</t>
  </si>
  <si>
    <t>N/A</t>
  </si>
  <si>
    <t xml:space="preserve">OMNI2 -102047 / OMNI- 201218 </t>
  </si>
  <si>
    <t>OMNI -MX2</t>
  </si>
  <si>
    <t>ELETRONICA SBJ</t>
  </si>
  <si>
    <t>0299/2018</t>
  </si>
  <si>
    <t>TÉCNICA CALIB.</t>
  </si>
  <si>
    <t>ES-022</t>
  </si>
  <si>
    <t>D0688028-0619</t>
  </si>
  <si>
    <t>TR-404</t>
  </si>
  <si>
    <t>D0688006-0619</t>
  </si>
  <si>
    <t xml:space="preserve">Multimetro Digital </t>
  </si>
  <si>
    <t>D0688005-0619</t>
  </si>
  <si>
    <t>E0688003-0619</t>
  </si>
  <si>
    <t>ES-011</t>
  </si>
  <si>
    <t>D0688022-0619</t>
  </si>
  <si>
    <t>D0688023-0619</t>
  </si>
  <si>
    <t>PAQ-002</t>
  </si>
  <si>
    <t>ES-18</t>
  </si>
  <si>
    <t>D0688009-0619</t>
  </si>
  <si>
    <t>TR-405</t>
  </si>
  <si>
    <t>D0688007-0619</t>
  </si>
  <si>
    <t>D0688029-0619</t>
  </si>
  <si>
    <t>D0688017-0619</t>
  </si>
  <si>
    <t>D0688027-0619</t>
  </si>
  <si>
    <t>D0688014-0619</t>
  </si>
  <si>
    <t>TR-403</t>
  </si>
  <si>
    <t>ESQ-187</t>
  </si>
  <si>
    <t>D0688021-0619</t>
  </si>
  <si>
    <t>TR-408</t>
  </si>
  <si>
    <t>D0688010-0620</t>
  </si>
  <si>
    <t>NIV-173/A</t>
  </si>
  <si>
    <t>D0688015-0619</t>
  </si>
  <si>
    <t>TR-406</t>
  </si>
  <si>
    <t>D0688018-0619</t>
  </si>
  <si>
    <t>ESQ-184</t>
  </si>
  <si>
    <t>D0688025-0619</t>
  </si>
  <si>
    <t>ESQ-057</t>
  </si>
  <si>
    <t>D0688030-0619</t>
  </si>
  <si>
    <t>NM120</t>
  </si>
  <si>
    <t>D0688011-0619</t>
  </si>
  <si>
    <t>TR-407</t>
  </si>
  <si>
    <t>D0688008-0619</t>
  </si>
  <si>
    <t>ESQ-186</t>
  </si>
  <si>
    <t>D0688034-0619</t>
  </si>
  <si>
    <t>NI-94</t>
  </si>
  <si>
    <t>D0688019-0619</t>
  </si>
  <si>
    <t>TR-399</t>
  </si>
  <si>
    <t>L516CMES</t>
  </si>
  <si>
    <t>D0688001-0619</t>
  </si>
  <si>
    <t>D0688020-0619</t>
  </si>
  <si>
    <t>Ramada</t>
  </si>
  <si>
    <t>ESQ-110</t>
  </si>
  <si>
    <t>ET-3166</t>
  </si>
  <si>
    <t>E0688004-0619</t>
  </si>
  <si>
    <t>TR-402</t>
  </si>
  <si>
    <t>D0688004-0619</t>
  </si>
  <si>
    <t>D0688016-0619</t>
  </si>
  <si>
    <t>D0688031-0619</t>
  </si>
  <si>
    <t>D0688013-0619</t>
  </si>
  <si>
    <t>ESQ-188</t>
  </si>
  <si>
    <t>D0688033-0619</t>
  </si>
  <si>
    <t>D0688026-0619</t>
  </si>
  <si>
    <t>Hol</t>
  </si>
  <si>
    <t>0744.19</t>
  </si>
  <si>
    <t>Rugosímetro</t>
  </si>
  <si>
    <t>MedTec</t>
  </si>
  <si>
    <t>MED-321A</t>
  </si>
  <si>
    <t>CM-8822</t>
  </si>
  <si>
    <t>Digimess</t>
  </si>
  <si>
    <t>MEX-007</t>
  </si>
  <si>
    <t>D0688003-0719</t>
  </si>
  <si>
    <t>PS-037</t>
  </si>
  <si>
    <t>BG076406</t>
  </si>
  <si>
    <t>MTX</t>
  </si>
  <si>
    <t>TR-410</t>
  </si>
  <si>
    <t>D0688005-0719</t>
  </si>
  <si>
    <t>L525CMES</t>
  </si>
  <si>
    <t>Nível Ótico</t>
  </si>
  <si>
    <t>Kolida</t>
  </si>
  <si>
    <t>KL32</t>
  </si>
  <si>
    <t>CBDGC-8800</t>
  </si>
  <si>
    <t>CENTRAL BRASIL</t>
  </si>
  <si>
    <t>TEB-001</t>
  </si>
  <si>
    <t>GE</t>
  </si>
  <si>
    <t>DM5E</t>
  </si>
  <si>
    <t>E0688002-1019</t>
  </si>
  <si>
    <t>Medidor de Camadas Digital</t>
  </si>
  <si>
    <t>MCT00000016J</t>
  </si>
  <si>
    <t>MCT-300</t>
  </si>
  <si>
    <t>D0688006-1019</t>
  </si>
  <si>
    <t>NM-342</t>
  </si>
  <si>
    <t>D0688003-1019</t>
  </si>
  <si>
    <t>BLOCO ESC</t>
  </si>
  <si>
    <t>VID-002</t>
  </si>
  <si>
    <t>Precistec</t>
  </si>
  <si>
    <t>Durometro de Impacto</t>
  </si>
  <si>
    <t>Woltest</t>
  </si>
  <si>
    <t>MOD4007</t>
  </si>
  <si>
    <t>Dox</t>
  </si>
  <si>
    <t>Oxímetro Digital</t>
  </si>
  <si>
    <t>Ventis Industrial</t>
  </si>
  <si>
    <t>110966B-051</t>
  </si>
  <si>
    <t>MX4</t>
  </si>
  <si>
    <t>5274.19</t>
  </si>
  <si>
    <t>110966B-049</t>
  </si>
  <si>
    <t>5273.19</t>
  </si>
  <si>
    <t>Calibrador de Profundidade Digital</t>
  </si>
  <si>
    <t>PS-038</t>
  </si>
  <si>
    <t xml:space="preserve">Calibre de Solda </t>
  </si>
  <si>
    <t>CS-001</t>
  </si>
  <si>
    <t>ET-2231A</t>
  </si>
  <si>
    <t>Paquimetro de Profundidade Digital</t>
  </si>
  <si>
    <t>P003738</t>
  </si>
  <si>
    <t>Dremo Meter</t>
  </si>
  <si>
    <t>MED-3000</t>
  </si>
  <si>
    <t>Medidor de Camadas Umida</t>
  </si>
  <si>
    <t>MED-1200</t>
  </si>
  <si>
    <t>0709/2020</t>
  </si>
  <si>
    <t>AD203739033</t>
  </si>
  <si>
    <t>AD203739038</t>
  </si>
  <si>
    <t>Classe A2 ABNT</t>
  </si>
  <si>
    <t>Wika</t>
  </si>
  <si>
    <t>4029-J</t>
  </si>
  <si>
    <t>Medidor de Espessura de Camadas Umida</t>
  </si>
  <si>
    <t>Medidor de Camadas Ferroso</t>
  </si>
  <si>
    <t>1911-P150110</t>
  </si>
  <si>
    <t>SMEC-II Plus</t>
  </si>
  <si>
    <t>85III</t>
  </si>
  <si>
    <t>NI-001</t>
  </si>
  <si>
    <t>NI-280/A</t>
  </si>
  <si>
    <t>RG-001</t>
  </si>
  <si>
    <t>ES-040</t>
  </si>
  <si>
    <t>TRE - 004</t>
  </si>
  <si>
    <t>TS510-30M</t>
  </si>
  <si>
    <t>TRE-001</t>
  </si>
  <si>
    <t>TRE-002</t>
  </si>
  <si>
    <t>TRE-003</t>
  </si>
  <si>
    <t xml:space="preserve">DIGITAL </t>
  </si>
  <si>
    <t xml:space="preserve">AFERITEC </t>
  </si>
  <si>
    <t>TM-36</t>
  </si>
  <si>
    <t>36290-109</t>
  </si>
  <si>
    <t>Terrômetro Digital</t>
  </si>
  <si>
    <t>Termometro Digital</t>
  </si>
  <si>
    <t xml:space="preserve">Extensometro </t>
  </si>
  <si>
    <t xml:space="preserve">ETC-DC </t>
  </si>
  <si>
    <t>MIC10</t>
  </si>
  <si>
    <t>ETCLASS</t>
  </si>
  <si>
    <t>MGC-1000</t>
  </si>
  <si>
    <t>6346.20</t>
  </si>
  <si>
    <t>6342.20</t>
  </si>
  <si>
    <t>6340.20</t>
  </si>
  <si>
    <t>6344.20</t>
  </si>
  <si>
    <t>ETClass</t>
  </si>
  <si>
    <t>4031-E</t>
  </si>
  <si>
    <t>4028-E</t>
  </si>
  <si>
    <t>0163/2020</t>
  </si>
  <si>
    <t>TC 249</t>
  </si>
  <si>
    <t>Peso Padrão 5, 5KG</t>
  </si>
  <si>
    <t>M0688001-0620</t>
  </si>
  <si>
    <t>Haste Padrão</t>
  </si>
  <si>
    <t>Insize</t>
  </si>
  <si>
    <t>Rugosímetro com Relógio</t>
  </si>
  <si>
    <t>D0688002-0620</t>
  </si>
  <si>
    <t>D0688004-0620</t>
  </si>
  <si>
    <t>D0688006-0620</t>
  </si>
  <si>
    <t>VID-003</t>
  </si>
  <si>
    <t>D0688008-0620</t>
  </si>
  <si>
    <t>VID-004</t>
  </si>
  <si>
    <t>TC 250</t>
  </si>
  <si>
    <t>D0688009-0620</t>
  </si>
  <si>
    <t>1837/A</t>
  </si>
  <si>
    <t>D0688011-0620</t>
  </si>
  <si>
    <t>3206-500</t>
  </si>
  <si>
    <t>1837/B</t>
  </si>
  <si>
    <t>D0688005-0620</t>
  </si>
  <si>
    <t>Medidor de Espessura Digital</t>
  </si>
  <si>
    <t>NOVOTEST</t>
  </si>
  <si>
    <t>TM-8812</t>
  </si>
  <si>
    <t>TECNOLAB</t>
  </si>
  <si>
    <t>10411/20</t>
  </si>
  <si>
    <t>10412/20</t>
  </si>
  <si>
    <t>10414/20</t>
  </si>
  <si>
    <t>Medidor de Camada Digital</t>
  </si>
  <si>
    <t>10407/20</t>
  </si>
  <si>
    <t>10408/20</t>
  </si>
  <si>
    <t>AC-3000</t>
  </si>
  <si>
    <t>H12A-C52388</t>
  </si>
  <si>
    <t>PM6508</t>
  </si>
  <si>
    <t>H12A-C52392</t>
  </si>
  <si>
    <t>H12A-C52310</t>
  </si>
  <si>
    <t>10417/20</t>
  </si>
  <si>
    <t>Barra Padrão</t>
  </si>
  <si>
    <t>BPA-005</t>
  </si>
  <si>
    <t>METROLOGIA 9000</t>
  </si>
  <si>
    <t>MTR 2434-20</t>
  </si>
  <si>
    <t>BPA-006</t>
  </si>
  <si>
    <t>MTR 2435-20</t>
  </si>
  <si>
    <t>110-225</t>
  </si>
  <si>
    <t>STHT77365</t>
  </si>
  <si>
    <t>AF100735</t>
  </si>
  <si>
    <t>MTR2419-20</t>
  </si>
  <si>
    <t>B-Max</t>
  </si>
  <si>
    <t>AF100989</t>
  </si>
  <si>
    <t>GM-300</t>
  </si>
  <si>
    <t>MTR2420-20</t>
  </si>
  <si>
    <t>AF100987</t>
  </si>
  <si>
    <t>MTR2422-20</t>
  </si>
  <si>
    <t>BPA-003</t>
  </si>
  <si>
    <t>BPA-004</t>
  </si>
  <si>
    <t>MTR 2433-20</t>
  </si>
  <si>
    <t>MTR 2432-20</t>
  </si>
  <si>
    <t>BPA-002</t>
  </si>
  <si>
    <t>MTR 2431-20</t>
  </si>
  <si>
    <t>BPA-001</t>
  </si>
  <si>
    <t>MTR 2430-20</t>
  </si>
  <si>
    <t>MTR2425-20</t>
  </si>
  <si>
    <t>MTR2424-20</t>
  </si>
  <si>
    <t>Serv-End</t>
  </si>
  <si>
    <t>MTR2407-20</t>
  </si>
  <si>
    <t>MTR2408-20</t>
  </si>
  <si>
    <t>Y1720CM</t>
  </si>
  <si>
    <t>D0688004-0720</t>
  </si>
  <si>
    <t>D0688005-0720</t>
  </si>
  <si>
    <t>D0688006-0720</t>
  </si>
  <si>
    <t>D0688007-0720</t>
  </si>
  <si>
    <t>D0688008-0720</t>
  </si>
  <si>
    <t>TS34-5ME</t>
  </si>
  <si>
    <t>D0688009-0720</t>
  </si>
  <si>
    <t>105-10</t>
  </si>
  <si>
    <t>D0688010-0720</t>
  </si>
  <si>
    <t>105-11</t>
  </si>
  <si>
    <t>D0688011-0720</t>
  </si>
  <si>
    <t>105-12</t>
  </si>
  <si>
    <t>D0688012-0720</t>
  </si>
  <si>
    <t>105-13</t>
  </si>
  <si>
    <t>D0688013-0720</t>
  </si>
  <si>
    <t>105-14</t>
  </si>
  <si>
    <t>D0688014-0720</t>
  </si>
  <si>
    <t>105-15</t>
  </si>
  <si>
    <t>D0688015-0720</t>
  </si>
  <si>
    <t>105-16</t>
  </si>
  <si>
    <t>D0688016-0720</t>
  </si>
  <si>
    <t>105-17</t>
  </si>
  <si>
    <t>42-886S</t>
  </si>
  <si>
    <t>D0688017-0720</t>
  </si>
  <si>
    <t>105-18</t>
  </si>
  <si>
    <t>D0688018-0720</t>
  </si>
  <si>
    <t>105-19</t>
  </si>
  <si>
    <t>D0688019-0720</t>
  </si>
  <si>
    <t>105-20</t>
  </si>
  <si>
    <t>D0688020-0720</t>
  </si>
  <si>
    <t>105-21</t>
  </si>
  <si>
    <t>D0688021-0720</t>
  </si>
  <si>
    <t>105-22</t>
  </si>
  <si>
    <t>105-23</t>
  </si>
  <si>
    <t>D0688023-0720</t>
  </si>
  <si>
    <t>105-24</t>
  </si>
  <si>
    <t>D0688024-0720</t>
  </si>
  <si>
    <t xml:space="preserve">Haste Padrão </t>
  </si>
  <si>
    <t>D0688012-0620</t>
  </si>
  <si>
    <t>Medidor de Camada Tipo Pente- 10409-20</t>
  </si>
  <si>
    <t>Medidor de Camada Tipo Pente- 10410-20</t>
  </si>
  <si>
    <t>Paquimetro Universal Quadrimensional</t>
  </si>
  <si>
    <t>Metrus</t>
  </si>
  <si>
    <t>NB-001</t>
  </si>
  <si>
    <t>NB-002</t>
  </si>
  <si>
    <t>NB-003</t>
  </si>
  <si>
    <t>NB-004</t>
  </si>
  <si>
    <t>TRE-009</t>
  </si>
  <si>
    <t>TRE-010</t>
  </si>
  <si>
    <t>TRE-011</t>
  </si>
  <si>
    <t>TRE-012</t>
  </si>
  <si>
    <t>TRE-005</t>
  </si>
  <si>
    <t>TRE-006</t>
  </si>
  <si>
    <t>TRE-007</t>
  </si>
  <si>
    <t>TRE-008</t>
  </si>
  <si>
    <t>MT-320B</t>
  </si>
  <si>
    <t>48765280MV</t>
  </si>
  <si>
    <t>1812/F</t>
  </si>
  <si>
    <t>ME-240</t>
  </si>
  <si>
    <t>N425624</t>
  </si>
  <si>
    <t>Winters</t>
  </si>
  <si>
    <t>096089</t>
  </si>
  <si>
    <t>Asta</t>
  </si>
  <si>
    <t>316SS</t>
  </si>
  <si>
    <t>MAN-242</t>
  </si>
  <si>
    <t>1537</t>
  </si>
  <si>
    <t>TorcoFlex-K</t>
  </si>
  <si>
    <t>T0688002-0920</t>
  </si>
  <si>
    <t>ST20CML</t>
  </si>
  <si>
    <t>D0688002-0920</t>
  </si>
  <si>
    <t>Y1750CM</t>
  </si>
  <si>
    <t>D0688001-0920</t>
  </si>
  <si>
    <t>D0688003-0920</t>
  </si>
  <si>
    <t>KA419-6011276</t>
  </si>
  <si>
    <t>Detector Portátil de Gás</t>
  </si>
  <si>
    <t>Mainard</t>
  </si>
  <si>
    <t>AF 101028</t>
  </si>
  <si>
    <t>METROLOGIA 9001</t>
  </si>
  <si>
    <t>MTR2410-20</t>
  </si>
  <si>
    <t>Bloco Escalonado</t>
  </si>
  <si>
    <t xml:space="preserve">Bloco Escalonado </t>
  </si>
  <si>
    <t>SBF END</t>
  </si>
  <si>
    <t>BL 02</t>
  </si>
  <si>
    <t>BL 03</t>
  </si>
  <si>
    <t>BL 04</t>
  </si>
  <si>
    <t>BL 06</t>
  </si>
  <si>
    <t>MTR2415-20</t>
  </si>
  <si>
    <t>MTR2417-20</t>
  </si>
  <si>
    <t>Novotest</t>
  </si>
  <si>
    <t>AF 101040</t>
  </si>
  <si>
    <t>MTR2423-20</t>
  </si>
  <si>
    <t>59 Max</t>
  </si>
  <si>
    <t>Bloco Jis</t>
  </si>
  <si>
    <t>Eishin Kagaku</t>
  </si>
  <si>
    <t>IN816060-24418</t>
  </si>
  <si>
    <t>TMD20KW</t>
  </si>
  <si>
    <t>AF 101010</t>
  </si>
  <si>
    <t>AF 101012</t>
  </si>
  <si>
    <t>NIV-48</t>
  </si>
  <si>
    <t>NIV-61</t>
  </si>
  <si>
    <t>NIV-53</t>
  </si>
  <si>
    <t>NIV-31</t>
  </si>
  <si>
    <t>NIV-43</t>
  </si>
  <si>
    <t>N1658</t>
  </si>
  <si>
    <t>N1773/2019</t>
  </si>
  <si>
    <t>Régua de Aço</t>
  </si>
  <si>
    <t>ES-001</t>
  </si>
  <si>
    <t>E0688001-0619</t>
  </si>
  <si>
    <t>Indeterminado</t>
  </si>
  <si>
    <t>DLE 70</t>
  </si>
  <si>
    <t>D0688004-1118</t>
  </si>
  <si>
    <t>D0688006-1118</t>
  </si>
  <si>
    <t>105-2</t>
  </si>
  <si>
    <t>105-3</t>
  </si>
  <si>
    <t>105-4</t>
  </si>
  <si>
    <t>105-5</t>
  </si>
  <si>
    <t>105-6</t>
  </si>
  <si>
    <t>105-7</t>
  </si>
  <si>
    <t>105-8</t>
  </si>
  <si>
    <t>105-1</t>
  </si>
  <si>
    <t>105-9</t>
  </si>
  <si>
    <t>TRE-004</t>
  </si>
  <si>
    <t>BaliTek</t>
  </si>
  <si>
    <t>AL-12</t>
  </si>
  <si>
    <t>Esquadro de Lâmina</t>
  </si>
  <si>
    <t>NIV-63</t>
  </si>
  <si>
    <t>NIV-56</t>
  </si>
  <si>
    <t>N1582/2019</t>
  </si>
  <si>
    <t>Paquimetro Quadrimensional Analógico</t>
  </si>
  <si>
    <t>Serv- End</t>
  </si>
  <si>
    <t>INDETERMINADO</t>
  </si>
  <si>
    <t>Conjunto de Filmes Padrão (Bloco Padrão)</t>
  </si>
  <si>
    <t>Esquadro Analógico</t>
  </si>
  <si>
    <t xml:space="preserve">Esquadro Analógico </t>
  </si>
  <si>
    <t xml:space="preserve">Esquadro de Lâmina </t>
  </si>
  <si>
    <t>Yoke</t>
  </si>
  <si>
    <t>Supermagna</t>
  </si>
  <si>
    <t>SEY 101/A</t>
  </si>
  <si>
    <t>HMM6</t>
  </si>
  <si>
    <t>SERV- END</t>
  </si>
  <si>
    <t>6693/2020</t>
  </si>
  <si>
    <t>GULTERM-1005</t>
  </si>
  <si>
    <t>GULTON</t>
  </si>
  <si>
    <t>7472.20</t>
  </si>
  <si>
    <t>Oxímetro Digital (Purge Monitor)</t>
  </si>
  <si>
    <t>772 Purge Monitor</t>
  </si>
  <si>
    <t>180801-2</t>
  </si>
  <si>
    <t>CAS-026</t>
  </si>
  <si>
    <t>E0688001-1220</t>
  </si>
  <si>
    <t>MATEC</t>
  </si>
  <si>
    <t>MDV-001</t>
  </si>
  <si>
    <t>SI-100</t>
  </si>
  <si>
    <t>MLM-111</t>
  </si>
  <si>
    <t>Luxímetro Digital</t>
  </si>
  <si>
    <t>NB-098-001</t>
  </si>
  <si>
    <t>NB-098-002</t>
  </si>
  <si>
    <t>NB-098-003</t>
  </si>
  <si>
    <t>NB-098-004</t>
  </si>
  <si>
    <t>LIS 14</t>
  </si>
  <si>
    <t>LTS 9</t>
  </si>
  <si>
    <t>D0688001-0321</t>
  </si>
  <si>
    <t>D0688002-0321</t>
  </si>
  <si>
    <t>D0688003-0321</t>
  </si>
  <si>
    <t>D0688004-0321</t>
  </si>
  <si>
    <t>TS1-8ME</t>
  </si>
  <si>
    <t>D0688008-0321</t>
  </si>
  <si>
    <t>D0688009-0321</t>
  </si>
  <si>
    <t>D06880010-0321</t>
  </si>
  <si>
    <t>Instemaq</t>
  </si>
  <si>
    <t>E-0688001-0321</t>
  </si>
  <si>
    <t>TRE-098-001</t>
  </si>
  <si>
    <t>TRE-098-002</t>
  </si>
  <si>
    <t>TRE-098-003</t>
  </si>
  <si>
    <t>TRE-098-004</t>
  </si>
  <si>
    <t>TRE-098-005</t>
  </si>
  <si>
    <t>TRE-098-006</t>
  </si>
  <si>
    <t>ESQ-302</t>
  </si>
  <si>
    <t>ESQ-303</t>
  </si>
  <si>
    <t>E0688003-0421</t>
  </si>
  <si>
    <t>E0688001-0421</t>
  </si>
  <si>
    <t>E0688006-0421</t>
  </si>
  <si>
    <t>TB-004</t>
  </si>
  <si>
    <t>E0688008-0421</t>
  </si>
  <si>
    <t>PERIODICIDADE</t>
  </si>
  <si>
    <t>Alicate Multímetro Digital</t>
  </si>
  <si>
    <t>INSTRUMENTO</t>
  </si>
  <si>
    <t>PRAZO (MESES)</t>
  </si>
  <si>
    <t>Alicate Volt-Amperímetro (Analógico/Digital)</t>
  </si>
  <si>
    <t>Amperímetro (Analógico/Digital)</t>
  </si>
  <si>
    <t>Barra Padrão para Ensaio de Dureza (Barra/Esfera)</t>
  </si>
  <si>
    <t>Balança Analógica</t>
  </si>
  <si>
    <t>Barra Padrão para Micrômetro Externo</t>
  </si>
  <si>
    <t>Bloco Padrão de Espessura (Película de Tinta)</t>
  </si>
  <si>
    <t>Bloco Padrão para Ultra-Som</t>
  </si>
  <si>
    <t>Bureta</t>
  </si>
  <si>
    <t>Calibrador de Temperatura Cappo Plus</t>
  </si>
  <si>
    <t>Caneta Dosimétrica</t>
  </si>
  <si>
    <t>Célula de Carga</t>
  </si>
  <si>
    <t>Contador Gaiger</t>
  </si>
  <si>
    <t>Controlador de Temperatura (Analógico/Digital)</t>
  </si>
  <si>
    <t>Clinômetro</t>
  </si>
  <si>
    <t>Cronômetro</t>
  </si>
  <si>
    <t>Decibelimetro</t>
  </si>
  <si>
    <t>Densitômetro (Ensaio Radiográfico)</t>
  </si>
  <si>
    <t>Detector Multigás</t>
  </si>
  <si>
    <t>Dinamômetro</t>
  </si>
  <si>
    <t xml:space="preserve">Durômetro Portátil </t>
  </si>
  <si>
    <t>Escada Graduada (Rígida/Flexível)</t>
  </si>
  <si>
    <t>Esquadro (com ou sem escala)</t>
  </si>
  <si>
    <t>Esquadro Combinado</t>
  </si>
  <si>
    <t>Esfignomanometro</t>
  </si>
  <si>
    <t>Estação Total/Teodolito</t>
  </si>
  <si>
    <t>Higrômetro</t>
  </si>
  <si>
    <t>Hi-Lo</t>
  </si>
  <si>
    <t>Luxímetro</t>
  </si>
  <si>
    <t>Manômetro de Leitura Direta</t>
  </si>
  <si>
    <t>Manômetro Registrador de Pressão Analógico</t>
  </si>
  <si>
    <t>Medidor de Dureza</t>
  </si>
  <si>
    <t>Medidor de Espessura por Ultra-Som</t>
  </si>
  <si>
    <t xml:space="preserve">Medidor de Película Seca ou Úmida (até 1000 μm) </t>
  </si>
  <si>
    <t>Medidor de Película Seca ou Úmida (até 500 μm)</t>
  </si>
  <si>
    <t>Medidor de PH e Condutividade</t>
  </si>
  <si>
    <t>Medidor de Umidade</t>
  </si>
  <si>
    <t>Micrômetro Externo</t>
  </si>
  <si>
    <t xml:space="preserve">Micrômetro Interno Tubular </t>
  </si>
  <si>
    <t>Micrômetro tipo Paquímetro</t>
  </si>
  <si>
    <t xml:space="preserve">Micrômetro de Profundidade </t>
  </si>
  <si>
    <t>Megômetro</t>
  </si>
  <si>
    <t>Monitor Pessoal ( Se for Radiação – Sonoro )</t>
  </si>
  <si>
    <t>Multímetro Digital</t>
  </si>
  <si>
    <t>Nível Ótico de Precisão/Topográfico</t>
  </si>
  <si>
    <t>Nível Regular de Precisão</t>
  </si>
  <si>
    <t>Padrão Octogonal (PM)</t>
  </si>
  <si>
    <t>Paquímetro</t>
  </si>
  <si>
    <t>Phmetro</t>
  </si>
  <si>
    <t>Pipeta</t>
  </si>
  <si>
    <t>Pirômetro de Contato</t>
  </si>
  <si>
    <t>Proveta</t>
  </si>
  <si>
    <t>Registrador de Temperatura Analógico</t>
  </si>
  <si>
    <t>Regulador de Argônio</t>
  </si>
  <si>
    <t>Teodolito</t>
  </si>
  <si>
    <t>Termômetro de Mercúrio</t>
  </si>
  <si>
    <t>Termômetro Bimetálico</t>
  </si>
  <si>
    <t>Termômetro Digital de Contato</t>
  </si>
  <si>
    <t>Termômetro Laser</t>
  </si>
  <si>
    <t>Termopar</t>
  </si>
  <si>
    <t>Termo-Higrômetro (Padrão/Demais)</t>
  </si>
  <si>
    <t>Terrômetro</t>
  </si>
  <si>
    <t>Torquímetro</t>
  </si>
  <si>
    <t>Trena (Fita)</t>
  </si>
  <si>
    <t>Trena (Digital)</t>
  </si>
  <si>
    <t>Tubo Decantador</t>
  </si>
  <si>
    <t>Voltímetro (Analógico/Digital)</t>
  </si>
  <si>
    <t>SEP 006</t>
  </si>
  <si>
    <t>Peso - Padrão (Yoke)</t>
  </si>
  <si>
    <t>DIAS</t>
  </si>
  <si>
    <t>ECO-0028</t>
  </si>
  <si>
    <t>PRESERTEC</t>
  </si>
  <si>
    <t>Pull-Off</t>
  </si>
  <si>
    <t>Pavimétrica</t>
  </si>
  <si>
    <t>Manual Digital</t>
  </si>
  <si>
    <t>TRE-013</t>
  </si>
  <si>
    <t>TRE-014</t>
  </si>
  <si>
    <t>TRE-015</t>
  </si>
  <si>
    <t>TRE-016</t>
  </si>
  <si>
    <t>D0688001-0521</t>
  </si>
  <si>
    <t>D0688002-0521</t>
  </si>
  <si>
    <t>D0688003-0521</t>
  </si>
  <si>
    <t>D0688004-0521</t>
  </si>
  <si>
    <t>Willy</t>
  </si>
  <si>
    <t>Holliday Detector (Detector de Descontinuidade)</t>
  </si>
  <si>
    <t>ST30CML</t>
  </si>
  <si>
    <t>TR-412</t>
  </si>
  <si>
    <t>TR-413</t>
  </si>
  <si>
    <t>D0688011-0621</t>
  </si>
  <si>
    <t>CAS-040</t>
  </si>
  <si>
    <t>CAS-041</t>
  </si>
  <si>
    <t>RG-010</t>
  </si>
  <si>
    <t>RG-011</t>
  </si>
  <si>
    <t>D0688004-0621</t>
  </si>
  <si>
    <t>RG-012</t>
  </si>
  <si>
    <t>D0688005-0621</t>
  </si>
  <si>
    <t>ES-03</t>
  </si>
  <si>
    <t>8868.21</t>
  </si>
  <si>
    <t>8869.21</t>
  </si>
  <si>
    <t>ARC- DAL</t>
  </si>
  <si>
    <t>166018/21</t>
  </si>
  <si>
    <t>166020/21</t>
  </si>
  <si>
    <t>166021/21</t>
  </si>
  <si>
    <t>ARC 130/14-300</t>
  </si>
  <si>
    <t>OFFICE-TEC SERVICE</t>
  </si>
  <si>
    <t>NIV-64</t>
  </si>
  <si>
    <t>NI-63</t>
  </si>
  <si>
    <t>NI-64</t>
  </si>
  <si>
    <t>E0688001-0821</t>
  </si>
  <si>
    <t>NI-65</t>
  </si>
  <si>
    <t>NI-66</t>
  </si>
  <si>
    <t>NI-67</t>
  </si>
  <si>
    <t>NI-68</t>
  </si>
  <si>
    <t>NI-69</t>
  </si>
  <si>
    <t>NI-70</t>
  </si>
  <si>
    <t>NI-71</t>
  </si>
  <si>
    <t>NI-72</t>
  </si>
  <si>
    <t>NIV-65</t>
  </si>
  <si>
    <t>NIV-66</t>
  </si>
  <si>
    <t>NIV-67</t>
  </si>
  <si>
    <t>NIV-68</t>
  </si>
  <si>
    <t>NIV-69</t>
  </si>
  <si>
    <t>NIV-70</t>
  </si>
  <si>
    <t>NIV-71</t>
  </si>
  <si>
    <t>NIV-72</t>
  </si>
  <si>
    <t>D0688006-0821</t>
  </si>
  <si>
    <t>D0688007-0821</t>
  </si>
  <si>
    <t>D0688008-0821</t>
  </si>
  <si>
    <t>TR-527</t>
  </si>
  <si>
    <t>TR-528</t>
  </si>
  <si>
    <t>TR-529</t>
  </si>
  <si>
    <t>TR-530</t>
  </si>
  <si>
    <t>TR-531</t>
  </si>
  <si>
    <t>TR-532</t>
  </si>
  <si>
    <t>TR-533</t>
  </si>
  <si>
    <t>TR-534</t>
  </si>
  <si>
    <t>TR-535</t>
  </si>
  <si>
    <t>D0688014-0821</t>
  </si>
  <si>
    <t>D0688015-0821</t>
  </si>
  <si>
    <t>D0688016-0821</t>
  </si>
  <si>
    <t>D0688017-0821</t>
  </si>
  <si>
    <t>D0688018-0821</t>
  </si>
  <si>
    <t>D0688019-0821</t>
  </si>
  <si>
    <t>D0688020-0821</t>
  </si>
  <si>
    <t>E0688002-0821</t>
  </si>
  <si>
    <t>E0688003-0821</t>
  </si>
  <si>
    <t>E0688004-0821</t>
  </si>
  <si>
    <t>E0688006-0821</t>
  </si>
  <si>
    <t>MT-241A</t>
  </si>
  <si>
    <t>E0688007-0821</t>
  </si>
  <si>
    <t>E0688009-0821</t>
  </si>
  <si>
    <t>E0688011-0821</t>
  </si>
  <si>
    <t>E0688013-0821</t>
  </si>
  <si>
    <t>E0688014-0822</t>
  </si>
  <si>
    <t>E0688016-0821</t>
  </si>
  <si>
    <t>E0688017-0821</t>
  </si>
  <si>
    <t>Válvula de Segurança- Jato</t>
  </si>
  <si>
    <t>Lubefer</t>
  </si>
  <si>
    <t>VS-001</t>
  </si>
  <si>
    <t>LUB-30</t>
  </si>
  <si>
    <t>P0688001-0921</t>
  </si>
  <si>
    <t>VS-002</t>
  </si>
  <si>
    <t>VS-003</t>
  </si>
  <si>
    <t>VS-004</t>
  </si>
  <si>
    <t>P0688002-0921</t>
  </si>
  <si>
    <t>P0688003-0921</t>
  </si>
  <si>
    <t>P0688004-0921</t>
  </si>
  <si>
    <t>E0688001-0921</t>
  </si>
  <si>
    <t>54782711MV</t>
  </si>
  <si>
    <t>ARC 130/14-301</t>
  </si>
  <si>
    <t>170074/21</t>
  </si>
  <si>
    <t>VS-005</t>
  </si>
  <si>
    <t>VS-006</t>
  </si>
  <si>
    <t>VS-007</t>
  </si>
  <si>
    <t>VS-008</t>
  </si>
  <si>
    <t>P0688001-1021</t>
  </si>
  <si>
    <t>P0688002-1021</t>
  </si>
  <si>
    <t>P0688003-1021</t>
  </si>
  <si>
    <t>P0688004-1021</t>
  </si>
  <si>
    <t>Bloco Curvo - Padrão de Calib.- Phased Array</t>
  </si>
  <si>
    <t>002737-21</t>
  </si>
  <si>
    <t>Dinamometro Digital</t>
  </si>
  <si>
    <t>instrutemp</t>
  </si>
  <si>
    <t>ITFG 6020</t>
  </si>
  <si>
    <t>233069/21</t>
  </si>
  <si>
    <t>Holiday Detector</t>
  </si>
  <si>
    <t>END Araujo</t>
  </si>
  <si>
    <t>HD-30-AC</t>
  </si>
  <si>
    <t>044/21</t>
  </si>
  <si>
    <t xml:space="preserve">INTERCON </t>
  </si>
  <si>
    <t>D0688002-1121</t>
  </si>
  <si>
    <t>E0688001-1221</t>
  </si>
  <si>
    <t>J7066014</t>
  </si>
  <si>
    <t>D0688001-0122</t>
  </si>
  <si>
    <t>D0688002-0122</t>
  </si>
  <si>
    <t>D0688004-0122</t>
  </si>
  <si>
    <t>99-01</t>
  </si>
  <si>
    <t>D0688009-0122</t>
  </si>
  <si>
    <t>E0688002-0122</t>
  </si>
  <si>
    <t>Super Magma</t>
  </si>
  <si>
    <t>1538/10</t>
  </si>
  <si>
    <t>Durometro Rockwell Portatil</t>
  </si>
  <si>
    <t>D0688005-0122</t>
  </si>
  <si>
    <t>P0688009-0521</t>
  </si>
  <si>
    <t>6673/2020</t>
  </si>
  <si>
    <t/>
  </si>
  <si>
    <t>4005E</t>
  </si>
  <si>
    <t>HD-05</t>
  </si>
  <si>
    <t>021/22</t>
  </si>
  <si>
    <t>Bloco Escalonado -ME</t>
  </si>
  <si>
    <t>1410/09</t>
  </si>
  <si>
    <t>Eddy Current</t>
  </si>
  <si>
    <t>Nortec 600</t>
  </si>
  <si>
    <t>ENDVALE</t>
  </si>
  <si>
    <t>Sagatech</t>
  </si>
  <si>
    <t>Ultrassom Phased Array</t>
  </si>
  <si>
    <t>Nura</t>
  </si>
  <si>
    <t>OMNI-101664</t>
  </si>
  <si>
    <t>Omniscan MX-1</t>
  </si>
  <si>
    <t>13/400077</t>
  </si>
  <si>
    <t>799A-6/150</t>
  </si>
  <si>
    <t>TECNOISO</t>
  </si>
  <si>
    <t>MEC-002</t>
  </si>
  <si>
    <t>TECNOMEDIÇÃO</t>
  </si>
  <si>
    <t>DM5EG1803456</t>
  </si>
  <si>
    <t>Medidor de Espessura Ultrassônico</t>
  </si>
  <si>
    <t>Bloco Padrão Massa</t>
  </si>
  <si>
    <t>P-001</t>
  </si>
  <si>
    <t>Digital Tread Depth Gauge</t>
  </si>
  <si>
    <t>DeFelsko</t>
  </si>
  <si>
    <t>WS-824-1</t>
  </si>
  <si>
    <t>WS-824-2</t>
  </si>
  <si>
    <t>WS-824-3</t>
  </si>
  <si>
    <t>Regulador de Pressão - Lança Chamas</t>
  </si>
  <si>
    <t>RP-01</t>
  </si>
  <si>
    <t>RP-02</t>
  </si>
  <si>
    <t>P0688001-0322</t>
  </si>
  <si>
    <t>P0688002-0322</t>
  </si>
  <si>
    <t>N963363</t>
  </si>
  <si>
    <t>PS-033</t>
  </si>
  <si>
    <t>PS-034</t>
  </si>
  <si>
    <t>ArcDal</t>
  </si>
  <si>
    <t>0166/2022</t>
  </si>
  <si>
    <t>Válvula de Segurança-Jato</t>
  </si>
  <si>
    <t xml:space="preserve">Laftec Calibração </t>
  </si>
  <si>
    <t>68-IS</t>
  </si>
  <si>
    <t>2871-H</t>
  </si>
  <si>
    <t xml:space="preserve">ETC-CX </t>
  </si>
  <si>
    <t>Manômetro</t>
  </si>
  <si>
    <t>Manômetro-Maquina de Jato</t>
  </si>
  <si>
    <t>Manômetro- Máquina de Jato</t>
  </si>
  <si>
    <t>Suplyfer</t>
  </si>
  <si>
    <t>3616SS</t>
  </si>
  <si>
    <t>8200A91C</t>
  </si>
  <si>
    <t>8200A91D</t>
  </si>
  <si>
    <t>8200A91E</t>
  </si>
  <si>
    <t>233.34.4.4.1/2"</t>
  </si>
  <si>
    <t>WIKA DO BRASIL</t>
  </si>
  <si>
    <t>LMP351247/22</t>
  </si>
  <si>
    <t>DY8800A+</t>
  </si>
  <si>
    <t>12342.22</t>
  </si>
  <si>
    <t>12343.22</t>
  </si>
  <si>
    <t>N-1598-1122</t>
  </si>
  <si>
    <t>P-01</t>
  </si>
  <si>
    <t>D0688008-0122</t>
  </si>
  <si>
    <t>E0688003-1019</t>
  </si>
  <si>
    <t>TECNO</t>
  </si>
  <si>
    <t>82002N9A</t>
  </si>
  <si>
    <t>TR-414</t>
  </si>
  <si>
    <t>TR-415</t>
  </si>
  <si>
    <t>TR-414/1</t>
  </si>
  <si>
    <t>TR-415/1</t>
  </si>
  <si>
    <t>TR-425</t>
  </si>
  <si>
    <t>TR-416</t>
  </si>
  <si>
    <t>TR-417</t>
  </si>
  <si>
    <t>TR-418</t>
  </si>
  <si>
    <t>TR-419</t>
  </si>
  <si>
    <t>TR-420</t>
  </si>
  <si>
    <t>TR-421</t>
  </si>
  <si>
    <t>TR-422</t>
  </si>
  <si>
    <t>TR-423</t>
  </si>
  <si>
    <t>TR-424</t>
  </si>
  <si>
    <t>ARCIDEL</t>
  </si>
  <si>
    <t>Gulterm</t>
  </si>
  <si>
    <t>1005 - tipo K</t>
  </si>
  <si>
    <t>177712/22</t>
  </si>
  <si>
    <t>177713/22</t>
  </si>
  <si>
    <t>175918/22</t>
  </si>
  <si>
    <t>175920/22</t>
  </si>
  <si>
    <t>176291/22</t>
  </si>
  <si>
    <t>176294/22</t>
  </si>
  <si>
    <t>Lube Fer</t>
  </si>
  <si>
    <t>Techgel</t>
  </si>
  <si>
    <t>ARC-131/14-160</t>
  </si>
  <si>
    <t>Cappo Plus - Calibrador Portáti Microproc.</t>
  </si>
  <si>
    <t xml:space="preserve">Megômetro </t>
  </si>
  <si>
    <t xml:space="preserve">Esquadro de Precisão/ Analógico </t>
  </si>
  <si>
    <t>Manômetro Máquina de Jato</t>
  </si>
  <si>
    <t xml:space="preserve">Rugosímetro/ Pintura / Com Relógio </t>
  </si>
  <si>
    <t>Transferidor de Ângulo / Grau</t>
  </si>
  <si>
    <t>Bloco Curvo /Padrão de Calib. Phased Array</t>
  </si>
  <si>
    <t xml:space="preserve">Detector de Fuga de Gás </t>
  </si>
  <si>
    <t>Máquina de Medição Linear</t>
  </si>
  <si>
    <t>Medidor de Camada Tipo Pente</t>
  </si>
  <si>
    <t>Medidor de Camada Ferroso</t>
  </si>
  <si>
    <t>Medidor de Camada Umido</t>
  </si>
  <si>
    <t xml:space="preserve">Medidor de Espessura Ultrassonico </t>
  </si>
  <si>
    <t xml:space="preserve">Nível de Bolha </t>
  </si>
  <si>
    <t xml:space="preserve">Regulador de Pressão </t>
  </si>
  <si>
    <t>Ultrassom Portátil Digital</t>
  </si>
  <si>
    <t xml:space="preserve">Pipe Locator (Detector de Metais) </t>
  </si>
  <si>
    <t>Fluxometro (bíbimetro)</t>
  </si>
  <si>
    <t>Ele faz as medições gerais de partes externas das peças ou superfícies.</t>
  </si>
  <si>
    <t>Os dispositivos são munidos de sensor infravermelho, que mede a temperatura a partir do calor que emana da superfície corporal.</t>
  </si>
  <si>
    <t>É uma ferramenta de medição de tensão com alguns recursos de corrente.</t>
  </si>
  <si>
    <t>Permite a verificação da posição dos campos magnéticos aplicados na peça, atestando a performance do equipamento.</t>
  </si>
  <si>
    <t>É utilizado para medir a concentração de banhos de partículas magnéticas. Disponível em dois modelos. Um específico para partículas coloridas com fundo de escala de 0,1 mL e para partículas fluorescentes com fundo de escala de 0,05 mL.</t>
  </si>
  <si>
    <t>É utilizada para fazer a vedação da máquina de jato no momento do início da operação, gerando a pressão interna.</t>
  </si>
  <si>
    <t>É um instrumento utilizado para medir a corrente elétrica. </t>
  </si>
  <si>
    <t>É uma balança eletrônica com microprocessador </t>
  </si>
  <si>
    <t>São utilizadas com os micrômetros analógicos e/ou digitais para ajustar o ponto de referência no início ou no fim de sua capacidade.</t>
  </si>
  <si>
    <t>Possui séries de furos laterais, furos inclinados (angulares) e furos próximos à superfície.</t>
  </si>
  <si>
    <t>Para calibrar a escala de espessura de transdutores em equipamentos de ultrassom e medição de espessura.</t>
  </si>
  <si>
    <t>Revela se a pintura é original ou sofreu polimento em excesso.</t>
  </si>
  <si>
    <t>É um componente da área de END , verificar pontos de saídas do feixe, resolução e ângulos do ultrassom antes do ensaio de uma peça</t>
  </si>
  <si>
    <t>Sua função é realizar dosagens exatas de soluções em outros recipientes.</t>
  </si>
  <si>
    <t>Permite a integração no sistema de medida assim como o processo estatístico junto com um conector de saída dos dados.</t>
  </si>
  <si>
    <t>Para atender as necessidades de medição e calibração de temperatura, grandezas elétricas e pressão.</t>
  </si>
  <si>
    <t>Para medir todos os parâmetros de uma solda em milímetros,faz medições em todos os valores existentes na construção soldada. Espessura da peça até 40mm.</t>
  </si>
  <si>
    <t>É um medidor que utiliza a capacidade de emissão de luz de materiais quando expostos à radiação. Esta quantidade de luz é proporcional a quantidade de radiação que o dosímetro foi exposto</t>
  </si>
  <si>
    <t>É um transdutor de força que converte a carga que atua sobre ele em uma saída elétrica mensurável, as células de carga baseadas em sensores de deformação e tensão são as mais usadas.</t>
  </si>
  <si>
    <t>Instrumento manual para medir a inclinação de uma superfície plana em relação ao horizonte.</t>
  </si>
  <si>
    <t>Ele contém um tubo com argônio, que se ioniza ao ser atravessado por partículas alfa e beta da radiação, fechando o circuito elétrico e acionando o contador.</t>
  </si>
  <si>
    <t>Os controladores servem para manter a temperatura de um equipamento, produto ou ambiente em uma temperatura definida</t>
  </si>
  <si>
    <t>Instrumento de precisão, dotado de pêndulo, e capaz de medir o tempo em frações de segundo.</t>
  </si>
  <si>
    <t>É um equipamento utilizado para realizar a medição dos níveis de pressão sonora em ambientes externos e internos.</t>
  </si>
  <si>
    <t>É um instrumento usado para medir a densidade óptica (grau de opacidade) de uma superfície,mede a quantidade de luz refletida.</t>
  </si>
  <si>
    <t>É um dispositivo que detecta a presença de gases em uma área.</t>
  </si>
  <si>
    <t>É um dispositivo usado por um operador para monitorar a zona de respiração.</t>
  </si>
  <si>
    <t>É um aparelho utilizado para medir a intensidade da força.</t>
  </si>
  <si>
    <t>É um equipamento que avalia a dureza de materiais dos mais diversos tipos, o valor é medido pela profundidade da penetração no material sob teste.</t>
  </si>
  <si>
    <t>O teste de correntes parasitas é baseado no fenômeno físico da indução eletromagnética. Em uma sonda de corrente parasita, uma corrente alternada flui através de uma bobina de arame e gera um campo magnético oscilante.</t>
  </si>
  <si>
    <t>Esfigmomanômetro</t>
  </si>
  <si>
    <t>Instrumento que mede a pressão sanguínea, e a pressão arterial.</t>
  </si>
  <si>
    <t>Para traçar linhas perpendiculares e algumas linhas inclinadas, também pode ser usado para medir e verificar ângulos retos.</t>
  </si>
  <si>
    <t>Pode ser utilizado para encontrar centros de objetos redondos. Se utilizado da forma correta também serve para para medir profundidade de cavas e outras superfícies.</t>
  </si>
  <si>
    <t>Utilizado para se obter melhor visualização, em virtude da pequena superfície de contato.</t>
  </si>
  <si>
    <t>Tem a finalidade de verificar o alinhamento e a perpendicularidade entre superfícies de peças variadas.</t>
  </si>
  <si>
    <t>É um equipamento eletrônico utilizado para medidas de ângulos e distâncias nos levantamentos topográficos.</t>
  </si>
  <si>
    <t>São sensores baseados em resistência elétrica, comportando-se como um resistor.Um transdutor capaz de medir deformações mecânicas em corpos de prova.</t>
  </si>
  <si>
    <t>Mede a diferença de fase entre dois sinais periódicos que possuem a mesma frequência.</t>
  </si>
  <si>
    <t>Fluxometro (bibimetro)</t>
  </si>
  <si>
    <t>Usado para medir vazões de gás CO2 Argônio ou misturas nas operações de soldagem MIG MAG TIG e arame tubular. Pode ser usado em qualquer modelo de tocha. Usado na boca da tocha para medir a vazão de saída do gás.</t>
  </si>
  <si>
    <t>É um instrumento de medição ou de verificação de medidas angulares, termo genérico para instrumentos de medir ângulos.</t>
  </si>
  <si>
    <t>Utilizadas para zeragem de micrômetros externos para roscas.</t>
  </si>
  <si>
    <t>Serve para medir a umidade de gases ou do ar.</t>
  </si>
  <si>
    <t>Verificar a condição do meio isolante de diversos materiais.</t>
  </si>
  <si>
    <t>Serve para medir a intensidade da luz que chega a seu sensor,  faz a medição da luz distribuída em uma área ou superfície.</t>
  </si>
  <si>
    <t>É a ferramenta utilizada para medir a pressão dentro de um sistema de pulverização.</t>
  </si>
  <si>
    <t>É um equipamento utilizado para medir a pressão dos gases industriais.</t>
  </si>
  <si>
    <t>É constituído por uma fita de aço, fibra ou tecido, graduada em uma ou em ambas as faces, ao longo de seu comprimento, com traços transversais.</t>
  </si>
  <si>
    <t>Para a medições não destrutivas de espessura de camadas depositadas sobre bases metálicas com superfícies planas, côncavas e convexas.</t>
  </si>
  <si>
    <t>Possibilita a medição da espessura de camadas aplicadas em bases metálicas ferrosas (Fe) e metálicas não ferrosas (NFe).</t>
  </si>
  <si>
    <t> Para o controle de camadas recém aplicadas e possibilitam o cálculo da espessura da camada quando seca, permitindo que se efetue, de imediato, as correções necessárias.</t>
  </si>
  <si>
    <t>É responsável por medir a dureza de materiais.</t>
  </si>
  <si>
    <t>Serve para determinar a espessura de revestimento sobre materiais metálicos.</t>
  </si>
  <si>
    <t>É um equipamento utilizado em indústrias para a aferição da espessura de peças antes que elas sejam acabadas.</t>
  </si>
  <si>
    <t> Funcionam medindo com muita precisão o tempo que um pulso de som gerado por uma sonda chamada transdutor ultrassônico leva para percorrer uma peça de teste.</t>
  </si>
  <si>
    <t>Se emprega no controle de camadas recém aplicadas e possibilitam o cálculo da espessura da camada quando úmida, permitindo que se efetuem, de imediato, as correções necessárias na pintura.</t>
  </si>
  <si>
    <t>É capaz de medir a condutividade elétrica da água.</t>
  </si>
  <si>
    <t>É responsável por medir e controlar o teor de umidade em um material.</t>
  </si>
  <si>
    <t>Ele mede a capacidade de realizar a medição da resistência de isolação, você consegue medir a isolação de pólos e a isolação da carcaça.</t>
  </si>
  <si>
    <t>É um instrumento de medição que visa aferir profundidade de pequenos furos não vazados, rasgo e rebaixos com uma precisão mais rigorosa.</t>
  </si>
  <si>
    <t>Para realizar medidas em superfícies cilíndricas internas, permitindo leitura rápida e direta.</t>
  </si>
  <si>
    <t>Ele consiste em 2( duas) pontas de contato, especialmente desenhado para medições de diâmetros internos em locais de difícil acesso.</t>
  </si>
  <si>
    <t>Serve para identificar e avaliar os potenciais gases existentes em um ambiente de trabalho.</t>
  </si>
  <si>
    <t>Serve para registrar exposições a radiação ionizante ocorridas fora do ambiente de trabalho. </t>
  </si>
  <si>
    <t>É uma ferramenta de teste utilizada para medir dois ou mais valores elétricos, principalmente, tensão, corrente e resistência, é um aparelho destinado a medir e avaliar grandezas elétricas.</t>
  </si>
  <si>
    <t>É uma ferramenta para aferição do plano horizontal, por meio de bolhas de ar introduzidas em tubos com líquidos em seu interior.</t>
  </si>
  <si>
    <t>É ideal para nivelamento de alta precisão</t>
  </si>
  <si>
    <t>É utilizado para medir a diferença de nível entre 2 pontos topográficos em diferentes alturas.</t>
  </si>
  <si>
    <t>Ele consegue medir a oxigenação do sangue.</t>
  </si>
  <si>
    <t>É um instrumento usado para medir as dimensões lineares internas, externas e de profundidade de uma peça, normalmente de tamanho pequeno.</t>
  </si>
  <si>
    <t>É indicada para verificação da intensidade do campo magnético aplicado na peça.</t>
  </si>
  <si>
    <t>É um material de referência para verificar, ajustar e calibrar os mais variados tipos de balança.</t>
  </si>
  <si>
    <t>É um equipamento utilizado para medir o pH, utilizado para medir a acidez e alcalinidade de um fluido.</t>
  </si>
  <si>
    <t>É um localizador de tubos e cabos enterrados, para gasodutos, oleodutos e mineroduto,  extremamente útil em campo.</t>
  </si>
  <si>
    <t>É o instrumento para medição de temperatura que operam pelo princípio da radiação infravermelha, eles detectam a radiação infravermelha dos objetos para determinar sua temperatura.</t>
  </si>
  <si>
    <t>É um instrumento laboratorial de formato cilíndrico que serve para medição de líquidos.</t>
  </si>
  <si>
    <t>Capaz de controlar e registrar com alta velocidade e a prova de barulho, usado para medir temperatura, umidade, corrente, pressão.</t>
  </si>
  <si>
    <t>É um teste para avaliar e medir a aderência e a resistência de revestimentos.</t>
  </si>
  <si>
    <t>É o instrumento que dispõe de uma escala de valores para conhecer o comprimento de algo,fabricado geralmente em aço.</t>
  </si>
  <si>
    <t>São utilizadas nas indústrias para medições lineares sendo também muito utilizado em laboratórios para calibração de trenas. Gravação da escala por processo a laser.</t>
  </si>
  <si>
    <t>É utilizado para redução da pressão em cilindros de Argônio ou misturas de Argônio/CO², além do ajuste da vazão de gás desejada, mantendo-a sempre constante.</t>
  </si>
  <si>
    <t>Tem a função de manter a pressão regulada para todo o circuito pneumático e ou rede de ar comprimido.</t>
  </si>
  <si>
    <t>Realiza a medição indireta de peças, comparando-as com um padrão pré-estabelecido.</t>
  </si>
  <si>
    <t>Serve para determinar com rapidez a rugosidade em superfícies ou perfurações.</t>
  </si>
  <si>
    <t>É a medida de ângulos horizontais e verticais, possibilita obter tanto a distância horizontal entre dois pontos quanto a diferença de nível entre os mesmos.</t>
  </si>
  <si>
    <t>Medidor de temperatura interna/externa e umidade relativa do ar.</t>
  </si>
  <si>
    <t>São vidrarias graduadas em milímetros utilizadas para transferir volumes conhecidos de líquidos, e sua função principal é transportar quantidades precisas de material líquido.</t>
  </si>
  <si>
    <t>É constituído por duas lâminas de metais diferentes, unidas entre si e enroladas em forma de espiral ou hélice. É utilizado para medições de temperatura local de ar, água, óleo, vapor saturado ou seco, gases e líquidos não agressivos.</t>
  </si>
  <si>
    <t>É usado para determinar os valores de temperatura</t>
  </si>
  <si>
    <t>Foi desenvolvido para a realização da medição da temperatura corporal.</t>
  </si>
  <si>
    <t>É um sensor utilizado para a medição da temperatura. </t>
  </si>
  <si>
    <t>Tem a capacidade de medir a resistência do solo em receber as descargas elétricas, ele mede a eficiência do aterramento através de sensores.</t>
  </si>
  <si>
    <t>É uma ferramenta que serve para apertar parafusos e porcas, instrumento para medir a resistência dos metais à torção.</t>
  </si>
  <si>
    <t>É uma régua especial que serve para medir os ângulos ao longo de uma circunferência.</t>
  </si>
  <si>
    <t>Consegue calcular com melhor precisão a medida.</t>
  </si>
  <si>
    <t>São instrumentos de medição para medir alturas ou distâncias.</t>
  </si>
  <si>
    <t> Para verificação da concentração e contaminação de banhos preparados para inspeção de peças pelo método de END por Partículas Magnéticas(PM), via úmida, nas escalas 0,05ml para PM Fluorescentes ou 0,1ml para PM Coloridas.</t>
  </si>
  <si>
    <t>Estabelece detecções de falhas ou imperfeições no maquinário com desenvolvimento específico para trabalhar em contato com o material.</t>
  </si>
  <si>
    <t>Utiliza esses elementos que são pulsados de uma maneira que criam vários componentes de feixe combinando-os e, dessa maneira, formando um declive de onda único que se desloca da direção desejada, fazendo com que o manuseio seja simples e efetivo.</t>
  </si>
  <si>
    <t>Que medem de forma indireta a dureza de diversos materiais, sem a necessidade de envio do material para o laboratório ou elaboração de amostras.</t>
  </si>
  <si>
    <t>O voltímetro é um instrumento de medição e teste utilizado para medir a diferença de  potencial / tensão entre dois pontos distintos de um circuito elétrico, atuando como um medidor de tensão.</t>
  </si>
  <si>
    <t>É uma ferramenta que, ao entrar em contato com o equipamento a ser realizada a inspeção, gera um campo magnético longitudinal capaz de tornar identificáveis as falhas e reentrâncias presentes na peça.</t>
  </si>
  <si>
    <t>Esse instrumento é responsável por medir a pressão de gases e líquidos dentro de recipientes.</t>
  </si>
  <si>
    <t>É utilizado para a verificação dimensional da geometria das juntas a serem soldadas e dos parâmetros das soldas realizadas. Ideal para verificação da soldagem nas montagens de dutos. Além de ser usado para a medição da perna da solda e do reforço da face da solda.</t>
  </si>
  <si>
    <t>É indicado para nivelamento de máquinas de precisão, mesas e desempenos, ou para medir planicidade.</t>
  </si>
  <si>
    <t> A balança mede o peso e exibe o resultado de maneira analógica. </t>
  </si>
  <si>
    <t>Hi-Lo  (Soldagem)</t>
  </si>
  <si>
    <t>TR-536</t>
  </si>
  <si>
    <t>TR-537</t>
  </si>
  <si>
    <t>TR-411</t>
  </si>
  <si>
    <t>D0688009-0621</t>
  </si>
  <si>
    <t>012509-19</t>
  </si>
  <si>
    <t>Goniometro (Transferidor de Grau)</t>
  </si>
  <si>
    <t>(MAN-EGV-3054)</t>
  </si>
  <si>
    <t>TR-536/1</t>
  </si>
  <si>
    <t>Bloco Escalonado -US</t>
  </si>
  <si>
    <t>BLE-TUC-005</t>
  </si>
  <si>
    <t>005427-21</t>
  </si>
  <si>
    <t>especificação</t>
  </si>
  <si>
    <t>(0 a 100 kgf/cm2)</t>
  </si>
  <si>
    <t>(0 a 60 kgf/cm2)</t>
  </si>
  <si>
    <t>(0 a 20 kgf/cm2)</t>
  </si>
  <si>
    <t>(0 a 160 kgf/cm2)</t>
  </si>
  <si>
    <t xml:space="preserve"> (0 a 10 kgf/cm2)</t>
  </si>
  <si>
    <t xml:space="preserve"> (0 a 25 kgf/cm2)</t>
  </si>
  <si>
    <t>(0 a 600 kgf/cm2)</t>
  </si>
  <si>
    <t>30000 mm</t>
  </si>
  <si>
    <t xml:space="preserve">Trena </t>
  </si>
  <si>
    <t>5000 mm</t>
  </si>
  <si>
    <t>8000 mm</t>
  </si>
  <si>
    <t>mm</t>
  </si>
  <si>
    <t>20000 mm</t>
  </si>
  <si>
    <t>Trena Digital</t>
  </si>
  <si>
    <t>71 mm</t>
  </si>
  <si>
    <t>25 μm | 3000 μm</t>
  </si>
  <si>
    <t>Medtec</t>
  </si>
  <si>
    <t>Inspetor</t>
  </si>
  <si>
    <t>Termometro Laser</t>
  </si>
  <si>
    <t xml:space="preserve">Medição Contagem </t>
  </si>
  <si>
    <t>AMI-0029</t>
  </si>
  <si>
    <t>205306/20</t>
  </si>
  <si>
    <t>ABNT-NBR NM 342</t>
  </si>
  <si>
    <t>7349/22</t>
  </si>
  <si>
    <t>(Particula Magnetica)</t>
  </si>
  <si>
    <t>SEP-006</t>
  </si>
  <si>
    <t>7350/22</t>
  </si>
  <si>
    <t>Tubo Decantador Graduado - Tipo Pera (Colorido)</t>
  </si>
  <si>
    <t>SERV-END</t>
  </si>
  <si>
    <t>Colorido</t>
  </si>
  <si>
    <t>7351/22</t>
  </si>
  <si>
    <t>(0 a 10 kgf/cm2)</t>
  </si>
  <si>
    <t>E</t>
  </si>
  <si>
    <t>0007</t>
  </si>
  <si>
    <t xml:space="preserve">Megabras </t>
  </si>
  <si>
    <t>MU3185H</t>
  </si>
  <si>
    <t>MD-1035e</t>
  </si>
  <si>
    <t>Calibrador Digital (Isocal)</t>
  </si>
  <si>
    <t>Presys</t>
  </si>
  <si>
    <t>214.09.14</t>
  </si>
  <si>
    <t>Isocal MCS-8</t>
  </si>
  <si>
    <t>SOCINTEC</t>
  </si>
  <si>
    <t>RI 1530/22</t>
  </si>
  <si>
    <t>Locado (master automação)</t>
  </si>
  <si>
    <t>13969.22</t>
  </si>
  <si>
    <t>13968.22</t>
  </si>
  <si>
    <t>0 kgf/cm² - 250 kgf/cm²</t>
  </si>
  <si>
    <t>ND</t>
  </si>
  <si>
    <t>0.6 mm | 508 mm</t>
  </si>
  <si>
    <t>Locado</t>
  </si>
  <si>
    <t>Paquimetro (Calibrador) de Profundidade Digital</t>
  </si>
  <si>
    <t>319/1</t>
  </si>
  <si>
    <t>319/2</t>
  </si>
  <si>
    <t>1918/1</t>
  </si>
  <si>
    <t>1918/2</t>
  </si>
  <si>
    <t>verificar com almoxarifado</t>
  </si>
  <si>
    <t>1000 mm</t>
  </si>
  <si>
    <t>D0688001-0123</t>
  </si>
  <si>
    <t>Marcelo Ricci (NTS_N2)</t>
  </si>
  <si>
    <t>DIGIMESS</t>
  </si>
  <si>
    <t>CWI-PAQ-001</t>
  </si>
  <si>
    <t>100.001a</t>
  </si>
  <si>
    <t>INSTRUCALL</t>
  </si>
  <si>
    <t>0877/22</t>
  </si>
  <si>
    <t>GIM 60 L</t>
  </si>
  <si>
    <t>Válvula de Segurança</t>
  </si>
  <si>
    <t>VL-01</t>
  </si>
  <si>
    <t>VL-02</t>
  </si>
  <si>
    <t>VL-03</t>
  </si>
  <si>
    <t>VL-04</t>
  </si>
  <si>
    <t>VL-05</t>
  </si>
  <si>
    <t xml:space="preserve"> (0 a 7 kgf/cm2)</t>
  </si>
  <si>
    <t xml:space="preserve"> (0 a 20 kgf/cm2)</t>
  </si>
  <si>
    <t xml:space="preserve"> (0 a 16 kgf/cm2)</t>
  </si>
  <si>
    <t xml:space="preserve"> (0 a 315 kgf/cm2)</t>
  </si>
  <si>
    <t xml:space="preserve"> (0 a 2,5 kgf/cm2)</t>
  </si>
  <si>
    <t xml:space="preserve"> (0 a 40 kgf/cm2)</t>
  </si>
  <si>
    <t>MAN-01</t>
  </si>
  <si>
    <t>MAN-02</t>
  </si>
  <si>
    <t>MAN-03</t>
  </si>
  <si>
    <t>MAN-04</t>
  </si>
  <si>
    <t>MAN-06</t>
  </si>
  <si>
    <t>MAN-07</t>
  </si>
  <si>
    <t>MAN-08 (A)</t>
  </si>
  <si>
    <t>MAN-05 (A)</t>
  </si>
  <si>
    <t>MAN-05 (B)</t>
  </si>
  <si>
    <t>MAN-08 (B)</t>
  </si>
  <si>
    <t>MAN-09 (A)</t>
  </si>
  <si>
    <t>MAN-09 (B)</t>
  </si>
  <si>
    <t>MAN-10 (A)</t>
  </si>
  <si>
    <t>MAN-10 (B)</t>
  </si>
  <si>
    <t>MAN-11 (A)</t>
  </si>
  <si>
    <t>MAN-11 (B)</t>
  </si>
  <si>
    <t>Harris</t>
  </si>
  <si>
    <t>Arcdal</t>
  </si>
  <si>
    <t>Famabras</t>
  </si>
  <si>
    <t>Condor</t>
  </si>
  <si>
    <t>V8 Brasil</t>
  </si>
  <si>
    <t>Metalgás</t>
  </si>
  <si>
    <t>25GX-50L-AR</t>
  </si>
  <si>
    <t>RI-16P</t>
  </si>
  <si>
    <t>GLP</t>
  </si>
  <si>
    <t>BR801</t>
  </si>
  <si>
    <t>BR802</t>
  </si>
  <si>
    <t>R102</t>
  </si>
  <si>
    <t>Medidor Digital de Resistividade do Solo</t>
  </si>
  <si>
    <t>OG3073H</t>
  </si>
  <si>
    <t>MO1206L</t>
  </si>
  <si>
    <t>MO8516J</t>
  </si>
  <si>
    <t>MD-5060X</t>
  </si>
  <si>
    <t>(0 a 160 kg/f2)</t>
  </si>
  <si>
    <t>953</t>
  </si>
  <si>
    <t>MI2700000194</t>
  </si>
  <si>
    <t>0 MOhm a 8000 Mohm</t>
  </si>
  <si>
    <t>958</t>
  </si>
  <si>
    <t>MI2700000362</t>
  </si>
  <si>
    <t>KA422-6033246</t>
  </si>
  <si>
    <t>KA422-6033247</t>
  </si>
  <si>
    <t>MDA-001</t>
  </si>
  <si>
    <t>TR-538</t>
  </si>
  <si>
    <t>TR-539</t>
  </si>
  <si>
    <t>(0 kgf/cm² | 90 kgf/cm²)</t>
  </si>
  <si>
    <t>(0 kgf/cm² | 20 kgf/cm²)</t>
  </si>
  <si>
    <t>TUB</t>
  </si>
  <si>
    <t>Alliance</t>
  </si>
  <si>
    <t>(0 kgf/cm² | 100 kgf/cm²)</t>
  </si>
  <si>
    <t>MTB241003986</t>
  </si>
  <si>
    <t>0 kgf/cm² | 250 kgf/cm²</t>
  </si>
  <si>
    <t>0 mm | 45 mm</t>
  </si>
  <si>
    <t>CAS-004</t>
  </si>
  <si>
    <t>CE-CG 298</t>
  </si>
  <si>
    <t>0 mm | 60 mm</t>
  </si>
  <si>
    <t>CAS-021</t>
  </si>
  <si>
    <t>CG Cam Gauge</t>
  </si>
  <si>
    <t>ESQN-001</t>
  </si>
  <si>
    <t>DWM 40L</t>
  </si>
  <si>
    <t xml:space="preserve">Esquadro </t>
  </si>
  <si>
    <t>53M-300</t>
  </si>
  <si>
    <t>MPR-526</t>
  </si>
  <si>
    <t>TI-001</t>
  </si>
  <si>
    <t>49400372WS</t>
  </si>
  <si>
    <t>59MAX</t>
  </si>
  <si>
    <t>END INSPEÇÃO DE SOLDA</t>
  </si>
  <si>
    <t>END-001</t>
  </si>
  <si>
    <t>OMNI2-102047</t>
  </si>
  <si>
    <t>Omniscan MX2</t>
  </si>
  <si>
    <t xml:space="preserve">END INSPEÇÃO </t>
  </si>
  <si>
    <t>NI284</t>
  </si>
  <si>
    <t>NI285</t>
  </si>
  <si>
    <t>NI286</t>
  </si>
  <si>
    <t>NI287</t>
  </si>
  <si>
    <t>TR-540</t>
  </si>
  <si>
    <t>TR-541</t>
  </si>
  <si>
    <t>TR-542</t>
  </si>
  <si>
    <t>TR-543</t>
  </si>
  <si>
    <t>TR-544</t>
  </si>
  <si>
    <t>15947.23</t>
  </si>
  <si>
    <t>15949.23</t>
  </si>
  <si>
    <t>58600204MV</t>
  </si>
  <si>
    <t>PS-035</t>
  </si>
  <si>
    <t>PS-036</t>
  </si>
  <si>
    <t>TR-545</t>
  </si>
  <si>
    <t>TR-546</t>
  </si>
  <si>
    <t>TR-547</t>
  </si>
  <si>
    <t>TR-548</t>
  </si>
  <si>
    <t>TR-549</t>
  </si>
  <si>
    <t>TR-550</t>
  </si>
  <si>
    <t>ESQ-304</t>
  </si>
  <si>
    <t>ESQ-305</t>
  </si>
  <si>
    <t>ESQ-306</t>
  </si>
  <si>
    <t>ESQ-307</t>
  </si>
  <si>
    <t>NI-284</t>
  </si>
  <si>
    <t>NI-285</t>
  </si>
  <si>
    <t>NI-286</t>
  </si>
  <si>
    <t>NI-287</t>
  </si>
  <si>
    <t>NI-288</t>
  </si>
  <si>
    <t>NI-289</t>
  </si>
  <si>
    <t>NI-290</t>
  </si>
  <si>
    <t>NI-291</t>
  </si>
  <si>
    <t>NI-292</t>
  </si>
  <si>
    <t>NI-293</t>
  </si>
  <si>
    <t>G011062</t>
  </si>
  <si>
    <t xml:space="preserve"> (0 a 50 kgf/cm2)</t>
  </si>
  <si>
    <t>8200DA34</t>
  </si>
  <si>
    <t>233.34.4.1/2"</t>
  </si>
  <si>
    <t>LPM398386/23</t>
  </si>
  <si>
    <t>8200DA31</t>
  </si>
  <si>
    <t>LPM396525/23</t>
  </si>
  <si>
    <t>D0688001-0124</t>
  </si>
  <si>
    <t>OBRA 118</t>
  </si>
  <si>
    <t>Bloco Padrão</t>
  </si>
  <si>
    <t>CAS-016</t>
  </si>
  <si>
    <t>Medidor de Espessura de Película Seca</t>
  </si>
  <si>
    <t>ET320A240644</t>
  </si>
  <si>
    <t>ET320A322396</t>
  </si>
  <si>
    <t>CG CAM Gauge</t>
  </si>
  <si>
    <t>ESQ-308</t>
  </si>
  <si>
    <t>4-4070543</t>
  </si>
  <si>
    <t>PNT-002</t>
  </si>
  <si>
    <t>100-200L</t>
  </si>
  <si>
    <t>Nível Goniométrico Digital (inclinometro digital)</t>
  </si>
  <si>
    <t>Esquadro de Fio</t>
  </si>
  <si>
    <t>4790-2500</t>
  </si>
  <si>
    <t>ESP-001</t>
  </si>
  <si>
    <t>180-202</t>
  </si>
  <si>
    <t xml:space="preserve">Zaas </t>
  </si>
  <si>
    <t>170-070</t>
  </si>
  <si>
    <t>4-801074</t>
  </si>
  <si>
    <t>desativado</t>
  </si>
  <si>
    <t>VL-06</t>
  </si>
  <si>
    <t>VL-07</t>
  </si>
  <si>
    <t>VL-08</t>
  </si>
  <si>
    <t>Lotus Plus</t>
  </si>
  <si>
    <t>TG-001</t>
  </si>
  <si>
    <t>799 (13/4007)</t>
  </si>
  <si>
    <t>Esquadro</t>
  </si>
  <si>
    <t>ESQ-309</t>
  </si>
  <si>
    <t>NI-295</t>
  </si>
  <si>
    <t>TR-551</t>
  </si>
  <si>
    <t>TR-552</t>
  </si>
  <si>
    <t>CAS-43</t>
  </si>
  <si>
    <t>CAS-45</t>
  </si>
  <si>
    <t>TR-553</t>
  </si>
  <si>
    <t>TR-554</t>
  </si>
  <si>
    <t>TR-555</t>
  </si>
  <si>
    <t>50000 mm</t>
  </si>
  <si>
    <t>ESQ-310</t>
  </si>
  <si>
    <t>ESQ-311</t>
  </si>
  <si>
    <t>24"</t>
  </si>
  <si>
    <t>ESQN-002</t>
  </si>
  <si>
    <t>Zaas</t>
  </si>
  <si>
    <t>113-0016</t>
  </si>
  <si>
    <t>CAS-044</t>
  </si>
  <si>
    <t>CAS-046</t>
  </si>
  <si>
    <t>CAS-047</t>
  </si>
  <si>
    <t>CAS-048</t>
  </si>
  <si>
    <t>ESQ-312</t>
  </si>
  <si>
    <t>ESQ-313</t>
  </si>
  <si>
    <t>ESQ-314</t>
  </si>
  <si>
    <t>ESQ-315</t>
  </si>
  <si>
    <t>ESQ-316</t>
  </si>
  <si>
    <t>ESQ-317</t>
  </si>
  <si>
    <t>ESQ-318</t>
  </si>
  <si>
    <t>42-887S</t>
  </si>
  <si>
    <t>NI-296</t>
  </si>
  <si>
    <t>NI-297</t>
  </si>
  <si>
    <t>NI-298</t>
  </si>
  <si>
    <t>NI-299</t>
  </si>
  <si>
    <t>NI-300</t>
  </si>
  <si>
    <t>NI-301</t>
  </si>
  <si>
    <t>NI-302</t>
  </si>
  <si>
    <t>NI-303</t>
  </si>
  <si>
    <t>NI-304</t>
  </si>
  <si>
    <t>NI-305</t>
  </si>
  <si>
    <t>NI-306</t>
  </si>
  <si>
    <t>NI-307</t>
  </si>
  <si>
    <t>NI-308</t>
  </si>
  <si>
    <t>TR-556</t>
  </si>
  <si>
    <t>TR-557</t>
  </si>
  <si>
    <t>TR-558</t>
  </si>
  <si>
    <t>TR-559</t>
  </si>
  <si>
    <t>TR-560</t>
  </si>
  <si>
    <t>TR-561</t>
  </si>
  <si>
    <t>TR-562</t>
  </si>
  <si>
    <t>TR-563</t>
  </si>
  <si>
    <t>TR-564</t>
  </si>
  <si>
    <t>TR-565</t>
  </si>
  <si>
    <t>TR-566</t>
  </si>
  <si>
    <t>TR-567</t>
  </si>
  <si>
    <t>80000 mm</t>
  </si>
  <si>
    <t>TR-553/1</t>
  </si>
  <si>
    <t>TR-554/1</t>
  </si>
  <si>
    <t>TR-555/1</t>
  </si>
  <si>
    <t>TR-568</t>
  </si>
  <si>
    <t>L525CME</t>
  </si>
  <si>
    <t>TR-569</t>
  </si>
  <si>
    <t>TR-570</t>
  </si>
  <si>
    <t>TR-571</t>
  </si>
  <si>
    <t>TR-572</t>
  </si>
  <si>
    <t>TR-573</t>
  </si>
  <si>
    <t>TR-574</t>
  </si>
  <si>
    <t>ESQ-310/1</t>
  </si>
  <si>
    <t>ESQ-311/1</t>
  </si>
  <si>
    <t>272-300</t>
  </si>
  <si>
    <t>TR-553-1</t>
  </si>
  <si>
    <t>TR-554-1</t>
  </si>
  <si>
    <t>TR-555-1</t>
  </si>
  <si>
    <t>OBRA 119</t>
  </si>
  <si>
    <t>D0688007-0620</t>
  </si>
  <si>
    <t>24339.24</t>
  </si>
  <si>
    <t>Fluxometro (Bibimetro)</t>
  </si>
  <si>
    <t>Raid Torque Systems</t>
  </si>
  <si>
    <t>V15298</t>
  </si>
  <si>
    <t>V-RAD SELECT 2000M</t>
  </si>
  <si>
    <t>24-05195</t>
  </si>
  <si>
    <t xml:space="preserve">Torqueaderia Elétrica </t>
  </si>
  <si>
    <t>24340.24</t>
  </si>
  <si>
    <t>24413.24</t>
  </si>
  <si>
    <t>Desativado</t>
  </si>
  <si>
    <t>PI-001AF</t>
  </si>
  <si>
    <t xml:space="preserve"> (0 a 250 kgf/cm2)</t>
  </si>
  <si>
    <t>Manômetro (AF Serviços Técnicos)</t>
  </si>
  <si>
    <t>Válvula de Segurança-PSV (AF Serviços Técnicos)</t>
  </si>
  <si>
    <t>0510/24</t>
  </si>
  <si>
    <t>AF SERV.IND.</t>
  </si>
  <si>
    <t>Transmissor de Pressão</t>
  </si>
  <si>
    <t>PT-001AF</t>
  </si>
  <si>
    <t>AF. SERV. IND.</t>
  </si>
  <si>
    <t>Danfloss</t>
  </si>
  <si>
    <t>MBS1750</t>
  </si>
  <si>
    <t>0505/24</t>
  </si>
  <si>
    <t>Termo Resistência</t>
  </si>
  <si>
    <t>TE/TT-01AF</t>
  </si>
  <si>
    <t>AF SERV. IND.</t>
  </si>
  <si>
    <t>0507/24</t>
  </si>
  <si>
    <t>0504/24</t>
  </si>
  <si>
    <t xml:space="preserve">Manômetro </t>
  </si>
  <si>
    <t>(0 a 150 kgf/cm2)</t>
  </si>
  <si>
    <t>(0 a 250 kgf/cm2)</t>
  </si>
  <si>
    <t>LMP443073-24</t>
  </si>
  <si>
    <t>8200GARF</t>
  </si>
  <si>
    <t>8200GARE</t>
  </si>
  <si>
    <t>8200GARG</t>
  </si>
  <si>
    <t>233.34.41/2"</t>
  </si>
  <si>
    <t>200-1000 N.m. (5 N.m)</t>
  </si>
  <si>
    <t>700-2000 N.m. (13 N.m.)</t>
  </si>
  <si>
    <t>44509/403</t>
  </si>
  <si>
    <t>44506/502</t>
  </si>
  <si>
    <t>CIPED</t>
  </si>
  <si>
    <t>FLX-002</t>
  </si>
  <si>
    <t>FLX-003</t>
  </si>
  <si>
    <t>FLX-004</t>
  </si>
  <si>
    <t>TR-575</t>
  </si>
  <si>
    <t>TR-576</t>
  </si>
  <si>
    <t>TR-577</t>
  </si>
  <si>
    <t>TR-578</t>
  </si>
  <si>
    <t>TR-579</t>
  </si>
  <si>
    <t>TR-580</t>
  </si>
  <si>
    <t>TR-581</t>
  </si>
  <si>
    <t>TR-582</t>
  </si>
  <si>
    <t>TR-583</t>
  </si>
  <si>
    <t>TR-584</t>
  </si>
  <si>
    <t xml:space="preserve">Medidor de Espessura </t>
  </si>
  <si>
    <t>Tecnomedição</t>
  </si>
  <si>
    <t>3713-P15012025</t>
  </si>
  <si>
    <t>A &amp; M PROD.SERV.</t>
  </si>
  <si>
    <t>C2001/25</t>
  </si>
  <si>
    <t>Manômetro Digital CL.A3</t>
  </si>
  <si>
    <t>0 a 250 bar</t>
  </si>
  <si>
    <t>Salvi</t>
  </si>
  <si>
    <t>T 119.009/25</t>
  </si>
  <si>
    <t>KILTLER DO BRASIL</t>
  </si>
  <si>
    <t>T 119.010/25</t>
  </si>
  <si>
    <t>0 a 1000 bar</t>
  </si>
  <si>
    <t>PressGage</t>
  </si>
  <si>
    <t>TECP-001</t>
  </si>
  <si>
    <t>4602-24</t>
  </si>
  <si>
    <t>AFERITEC METROLOG.</t>
  </si>
  <si>
    <t>59289-204</t>
  </si>
  <si>
    <t>Manômetro Analógico</t>
  </si>
  <si>
    <t>0 kgf/cm² | 10 kgf/cm²</t>
  </si>
  <si>
    <t>0 kgf/cm² | 2.0 kgf/cm²</t>
  </si>
  <si>
    <t>MPR-109</t>
  </si>
  <si>
    <t>0 a 100°C</t>
  </si>
  <si>
    <t>Globo Resistências</t>
  </si>
  <si>
    <t>TI-002</t>
  </si>
  <si>
    <t>0 a 250 kgf/cm2</t>
  </si>
  <si>
    <t>Transutor de Pressão</t>
  </si>
  <si>
    <t>Novus</t>
  </si>
  <si>
    <t>PT-001</t>
  </si>
  <si>
    <t>BILL MAKER</t>
  </si>
  <si>
    <t>443071-24</t>
  </si>
  <si>
    <t>443072-24</t>
  </si>
  <si>
    <t>443073-24</t>
  </si>
  <si>
    <t>233.34.41/2" (316SS)</t>
  </si>
  <si>
    <t>0 kgf/cm² | 15 kgf/cm²</t>
  </si>
  <si>
    <t>3098/13</t>
  </si>
  <si>
    <t>A162166</t>
  </si>
  <si>
    <t>0 kgf/cm² | 4 kgf/cm²</t>
  </si>
  <si>
    <t>3149/13</t>
  </si>
  <si>
    <t>0 kgf/cm² | 20 kgf/cm²</t>
  </si>
  <si>
    <t>A162105</t>
  </si>
  <si>
    <t>(0 a 25 kgf/cm2)</t>
  </si>
  <si>
    <t>82002N9D</t>
  </si>
  <si>
    <t>GIM60L</t>
  </si>
  <si>
    <t>1402.24</t>
  </si>
  <si>
    <t>Ultrassom Pulso/Eco</t>
  </si>
  <si>
    <t>Inspetora Jane</t>
  </si>
  <si>
    <t>USM GO</t>
  </si>
  <si>
    <t>0341.25</t>
  </si>
  <si>
    <t>0342.25</t>
  </si>
  <si>
    <t>0340.25</t>
  </si>
  <si>
    <t>24415.24</t>
  </si>
  <si>
    <t>Termômetro Infravermelho digital</t>
  </si>
  <si>
    <t>-50 a 400</t>
  </si>
  <si>
    <t xml:space="preserve">MOURA </t>
  </si>
  <si>
    <t>25326-15</t>
  </si>
  <si>
    <t>TI-6083</t>
  </si>
  <si>
    <t>Balança Eletronica</t>
  </si>
  <si>
    <t>BOING</t>
  </si>
  <si>
    <t>2099/38</t>
  </si>
  <si>
    <t>Toledo</t>
  </si>
  <si>
    <t>BILLMAKER QUALIDADE</t>
  </si>
  <si>
    <t>18474/24</t>
  </si>
  <si>
    <t>ASHCROFT</t>
  </si>
  <si>
    <t>MBG 84</t>
  </si>
  <si>
    <t>TORK</t>
  </si>
  <si>
    <t>CELLA</t>
  </si>
  <si>
    <t>PI-02</t>
  </si>
  <si>
    <t>WILLY</t>
  </si>
  <si>
    <t>AKVOMETER</t>
  </si>
  <si>
    <t>L22AK0000016</t>
  </si>
  <si>
    <t>HIDROMETER</t>
  </si>
  <si>
    <t>08090/25A</t>
  </si>
  <si>
    <t>Axial (HIDROMETRO)</t>
  </si>
  <si>
    <t>Manômetro Digital</t>
  </si>
  <si>
    <t>KELLER</t>
  </si>
  <si>
    <t>LEO RECORD EI</t>
  </si>
  <si>
    <t>ABSI SERVICE</t>
  </si>
  <si>
    <t>240764/24</t>
  </si>
  <si>
    <t>Medidor de Temperatura</t>
  </si>
  <si>
    <t>DT-8321</t>
  </si>
  <si>
    <t>00030742/24</t>
  </si>
  <si>
    <t>Medidor de Vazão</t>
  </si>
  <si>
    <t>TURL-32-S-NA-KTL</t>
  </si>
  <si>
    <t>DIGIFLOW</t>
  </si>
  <si>
    <t>5568-24</t>
  </si>
  <si>
    <t>BOING (Verificar a validade)</t>
  </si>
  <si>
    <t>PIG'S</t>
  </si>
  <si>
    <t>TECNOPIG</t>
  </si>
  <si>
    <t>TNP 24532</t>
  </si>
  <si>
    <t>Yokogawa</t>
  </si>
  <si>
    <t>B12100662</t>
  </si>
  <si>
    <t>EJA530E</t>
  </si>
  <si>
    <t>WIKA</t>
  </si>
  <si>
    <t>LMP464381/25</t>
  </si>
  <si>
    <t>22040/25</t>
  </si>
  <si>
    <t>Válvula Criogênica</t>
  </si>
  <si>
    <t>VCAT 012</t>
  </si>
  <si>
    <t>BNG 001</t>
  </si>
  <si>
    <t>CRYOVAL</t>
  </si>
  <si>
    <t>074/25</t>
  </si>
  <si>
    <t>Termoresistencia</t>
  </si>
  <si>
    <t>PT-100 3 Fios</t>
  </si>
  <si>
    <t>CAL - 249505/25</t>
  </si>
  <si>
    <t>CAL - 249506/25</t>
  </si>
  <si>
    <t>Salcas</t>
  </si>
  <si>
    <t>CAL 249507/25</t>
  </si>
  <si>
    <t>TP-ST 18</t>
  </si>
  <si>
    <t>CAL 249508/25</t>
  </si>
  <si>
    <t>Z-10-RG</t>
  </si>
  <si>
    <t>ZURICH</t>
  </si>
  <si>
    <t>CAL - 249509/25</t>
  </si>
  <si>
    <t>ABSI</t>
  </si>
  <si>
    <t>ABSI DIG - 100 - G</t>
  </si>
  <si>
    <t>CAL - 249510/25</t>
  </si>
  <si>
    <t>Almoxarifado Verificar</t>
  </si>
  <si>
    <t>(AF-101011)</t>
  </si>
  <si>
    <t>375 mm | 375 mm</t>
  </si>
  <si>
    <t>325 mm | 325 mm</t>
  </si>
  <si>
    <t>200 mm | 200 mm</t>
  </si>
  <si>
    <t>1835-1</t>
  </si>
  <si>
    <t>1835-2</t>
  </si>
  <si>
    <t>1835-3</t>
  </si>
  <si>
    <t>1835-4</t>
  </si>
  <si>
    <t>220 mm | 220 mm</t>
  </si>
  <si>
    <t>250 mm | 250 mm</t>
  </si>
  <si>
    <t>275 mm | 275 mm</t>
  </si>
  <si>
    <t>300 mm | 400 mm</t>
  </si>
  <si>
    <t>110-223</t>
  </si>
  <si>
    <t>Micrômetro Intercambiável</t>
  </si>
  <si>
    <t>200 mm | 300 mm</t>
  </si>
  <si>
    <t>110-222</t>
  </si>
  <si>
    <t>GLM50-27CG</t>
  </si>
  <si>
    <t>0 ° | 90 °</t>
  </si>
  <si>
    <t>0 º | 180 º</t>
  </si>
  <si>
    <t>C109752/25</t>
  </si>
  <si>
    <t>Laboratório Medição Natal</t>
  </si>
  <si>
    <t>C109780/25</t>
  </si>
  <si>
    <t>C109805/25</t>
  </si>
  <si>
    <t>OBRA 121</t>
  </si>
  <si>
    <t>Manometro Analógico</t>
  </si>
  <si>
    <t>0 a 315 kgf</t>
  </si>
  <si>
    <t>MAN-12/A</t>
  </si>
  <si>
    <t>MAN-12/B</t>
  </si>
  <si>
    <t>MAN-13/A</t>
  </si>
  <si>
    <t>MAN-13/B</t>
  </si>
  <si>
    <t>MAN-14/A</t>
  </si>
  <si>
    <t>MAN-14/B</t>
  </si>
  <si>
    <t>MAN-15/A</t>
  </si>
  <si>
    <t>MAN-15/B</t>
  </si>
  <si>
    <t>MAN-16/A</t>
  </si>
  <si>
    <t>MAN-16/B</t>
  </si>
  <si>
    <t>MAN-17/A</t>
  </si>
  <si>
    <t>MAN-17/B</t>
  </si>
  <si>
    <t>MAN-18/A</t>
  </si>
  <si>
    <t>MAN-18/B</t>
  </si>
  <si>
    <t>MAN-19/A</t>
  </si>
  <si>
    <t>MAN-19/B</t>
  </si>
  <si>
    <t>0 A 40 L/min</t>
  </si>
  <si>
    <t>0 a 70 kgf</t>
  </si>
  <si>
    <t>0 kgf/cm² | 315 kgf/cm²</t>
  </si>
  <si>
    <t>0 kgf/cm² a 315 kgf/cm²</t>
  </si>
  <si>
    <t>0 L/min | 40 L/min</t>
  </si>
  <si>
    <t>0 kgf/cm² | 280 kgf/cm²</t>
  </si>
  <si>
    <t>0 kgf/cm² | 16 kgf/cm²</t>
  </si>
  <si>
    <t>0 kgf/cm² | 40 kgf/cm²</t>
  </si>
  <si>
    <t>0 kgf/cm² | 3 kgf/cm²</t>
  </si>
  <si>
    <t>wika</t>
  </si>
  <si>
    <t>nc</t>
  </si>
  <si>
    <t>0 mm | 20 mm</t>
  </si>
  <si>
    <t>TR-003</t>
  </si>
  <si>
    <t>MSMI</t>
  </si>
  <si>
    <t>C163219/25</t>
  </si>
  <si>
    <t>C163344/25</t>
  </si>
  <si>
    <t>0 bar | 315 bar</t>
  </si>
  <si>
    <t>MAN-20/A</t>
  </si>
  <si>
    <t>MAN-20/B</t>
  </si>
  <si>
    <t>0 bar | 400 bar</t>
  </si>
  <si>
    <t>MAN-21/A</t>
  </si>
  <si>
    <t>MAN-21/B</t>
  </si>
  <si>
    <t>(0 a 60 kg/f2)</t>
  </si>
  <si>
    <t>Manometro</t>
  </si>
  <si>
    <t>0 kgf/cm² | 30 kgf/cm²</t>
  </si>
  <si>
    <t>PAVIMETRICA</t>
  </si>
  <si>
    <t>MAN-001</t>
  </si>
  <si>
    <t>C179673/25</t>
  </si>
  <si>
    <t>ONBRA 118</t>
  </si>
  <si>
    <t>C202296/25</t>
  </si>
  <si>
    <t>C202312/25</t>
  </si>
  <si>
    <t>C202326/25</t>
  </si>
  <si>
    <t>C205250/25</t>
  </si>
  <si>
    <t>C205254/25</t>
  </si>
  <si>
    <t>C205258/25</t>
  </si>
  <si>
    <t>C205262/25</t>
  </si>
  <si>
    <t>C205263/25</t>
  </si>
  <si>
    <t>C205264/25</t>
  </si>
  <si>
    <t>C212317/25</t>
  </si>
  <si>
    <t>C212318/25</t>
  </si>
  <si>
    <t>C212319/25</t>
  </si>
  <si>
    <t>P2894/25</t>
  </si>
  <si>
    <t>OBRA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</si>
</sst>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22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  <font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2"/>
      <color rgb="FF202124"/>
      <name val="Arial"/>
      <family val="2"/>
    </font>
    <font>
      <sz val="12"/>
      <color theme="1"/>
      <name val="Arial"/>
      <family val="2"/>
    </font>
    <font>
      <sz val="12"/>
      <color rgb="FF343A40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111">
    <xf numFmtId="0" fontId="0" fillId="0" borderId="0" xfId="0"/>
    <xf numFmtId="0" fontId="3" fillId="0" borderId="6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4" fontId="4" fillId="2" borderId="3" xfId="0" applyNumberFormat="1" applyFont="1" applyFill="1" applyBorder="1" applyAlignment="1">
      <alignment horizontal="center" wrapText="1"/>
    </xf>
    <xf numFmtId="0" fontId="5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9" fillId="2" borderId="0" xfId="0" applyFont="1" applyFill="1"/>
    <xf numFmtId="0" fontId="5" fillId="0" borderId="0" xfId="0" applyFont="1" applyAlignment="1">
      <alignment horizontal="center"/>
    </xf>
    <xf numFmtId="0" fontId="1" fillId="0" borderId="0" xfId="0" applyFont="1"/>
    <xf numFmtId="0" fontId="1" fillId="2" borderId="0" xfId="0" applyFont="1" applyFill="1"/>
    <xf numFmtId="0" fontId="4" fillId="2" borderId="0" xfId="0" applyFont="1" applyFill="1"/>
    <xf numFmtId="0" fontId="11" fillId="2" borderId="0" xfId="0" applyFont="1" applyFill="1"/>
    <xf numFmtId="0" fontId="4" fillId="2" borderId="3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2" borderId="3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center" wrapText="1"/>
    </xf>
    <xf numFmtId="17" fontId="4" fillId="2" borderId="4" xfId="0" applyNumberFormat="1" applyFont="1" applyFill="1" applyBorder="1" applyAlignment="1">
      <alignment horizontal="center" vertical="center" wrapText="1"/>
    </xf>
    <xf numFmtId="0" fontId="1" fillId="2" borderId="0" xfId="0" quotePrefix="1" applyFont="1" applyFill="1"/>
    <xf numFmtId="0" fontId="13" fillId="0" borderId="5" xfId="0" applyFont="1" applyBorder="1"/>
    <xf numFmtId="0" fontId="13" fillId="0" borderId="5" xfId="0" applyFont="1" applyBorder="1" applyAlignment="1">
      <alignment wrapText="1"/>
    </xf>
    <xf numFmtId="0" fontId="14" fillId="0" borderId="5" xfId="0" applyFont="1" applyBorder="1"/>
    <xf numFmtId="0" fontId="15" fillId="0" borderId="5" xfId="0" applyFont="1" applyBorder="1" applyAlignment="1">
      <alignment wrapText="1"/>
    </xf>
    <xf numFmtId="0" fontId="12" fillId="0" borderId="5" xfId="0" applyFont="1" applyBorder="1" applyAlignment="1">
      <alignment horizontal="left" vertical="center"/>
    </xf>
    <xf numFmtId="0" fontId="12" fillId="0" borderId="5" xfId="0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4" fillId="2" borderId="3" xfId="0" applyFont="1" applyFill="1" applyBorder="1" applyAlignment="1">
      <alignment horizontal="left" vertical="center" wrapText="1"/>
    </xf>
    <xf numFmtId="0" fontId="5" fillId="0" borderId="28" xfId="0" applyFont="1" applyBorder="1" applyAlignment="1">
      <alignment horizontal="center" vertical="top" wrapText="1"/>
    </xf>
    <xf numFmtId="0" fontId="3" fillId="0" borderId="29" xfId="0" applyFont="1" applyBorder="1" applyAlignment="1">
      <alignment vertical="center" wrapText="1"/>
    </xf>
    <xf numFmtId="0" fontId="2" fillId="0" borderId="29" xfId="0" applyFont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0" fontId="16" fillId="2" borderId="4" xfId="1" applyFill="1" applyBorder="1" applyAlignment="1">
      <alignment horizontal="center" vertical="center" wrapText="1"/>
    </xf>
    <xf numFmtId="0" fontId="16" fillId="2" borderId="3" xfId="1" applyFill="1" applyBorder="1" applyAlignment="1">
      <alignment horizontal="center" vertical="center" wrapText="1"/>
    </xf>
    <xf numFmtId="0" fontId="13" fillId="0" borderId="5" xfId="0" applyFont="1" applyBorder="1" applyAlignment="1">
      <alignment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16" fillId="0" borderId="0" xfId="1" applyAlignment="1">
      <alignment horizontal="center"/>
    </xf>
    <xf numFmtId="0" fontId="4" fillId="3" borderId="3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horizontal="center" wrapText="1"/>
    </xf>
    <xf numFmtId="0" fontId="1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0" borderId="3" xfId="0" applyFont="1" applyBorder="1" applyAlignment="1">
      <alignment horizontal="center"/>
    </xf>
    <xf numFmtId="0" fontId="16" fillId="2" borderId="4" xfId="1" applyFill="1" applyBorder="1" applyAlignment="1">
      <alignment horizontal="center" wrapText="1"/>
    </xf>
    <xf numFmtId="0" fontId="8" fillId="2" borderId="2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/>
    </xf>
    <xf numFmtId="14" fontId="4" fillId="2" borderId="4" xfId="0" applyNumberFormat="1" applyFont="1" applyFill="1" applyBorder="1" applyAlignment="1">
      <alignment horizontal="center" wrapText="1"/>
    </xf>
    <xf numFmtId="14" fontId="4" fillId="2" borderId="10" xfId="0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wrapText="1"/>
    </xf>
    <xf numFmtId="0" fontId="16" fillId="0" borderId="0" xfId="1"/>
    <xf numFmtId="14" fontId="4" fillId="2" borderId="3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vertical="center" wrapText="1"/>
    </xf>
    <xf numFmtId="0" fontId="16" fillId="0" borderId="4" xfId="1" applyFill="1" applyBorder="1" applyAlignment="1">
      <alignment horizontal="center" vertical="center" wrapText="1"/>
    </xf>
    <xf numFmtId="14" fontId="4" fillId="0" borderId="3" xfId="0" applyNumberFormat="1" applyFont="1" applyBorder="1" applyAlignment="1">
      <alignment horizontal="center" wrapText="1"/>
    </xf>
    <xf numFmtId="0" fontId="4" fillId="0" borderId="10" xfId="0" applyFont="1" applyBorder="1" applyAlignment="1">
      <alignment horizontal="center" vertical="center" wrapText="1"/>
    </xf>
    <xf numFmtId="0" fontId="11" fillId="0" borderId="0" xfId="0" applyFont="1"/>
    <xf numFmtId="14" fontId="4" fillId="0" borderId="3" xfId="0" applyNumberFormat="1" applyFont="1" applyBorder="1" applyAlignment="1">
      <alignment horizontal="center" vertical="center" wrapText="1"/>
    </xf>
    <xf numFmtId="0" fontId="16" fillId="2" borderId="4" xfId="1" applyNumberForma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2" borderId="3" xfId="0" applyFont="1" applyFill="1" applyBorder="1" applyAlignment="1">
      <alignment horizontal="center" vertical="center" wrapText="1"/>
    </xf>
    <xf numFmtId="0" fontId="16" fillId="2" borderId="3" xfId="1" applyFill="1" applyBorder="1" applyAlignment="1">
      <alignment vertical="center" wrapText="1"/>
    </xf>
    <xf numFmtId="0" fontId="16" fillId="2" borderId="3" xfId="1" applyFill="1" applyBorder="1" applyAlignment="1">
      <alignment horizontal="center" wrapText="1"/>
    </xf>
    <xf numFmtId="0" fontId="16" fillId="2" borderId="3" xfId="1" applyFill="1" applyBorder="1" applyAlignment="1">
      <alignment horizontal="center"/>
    </xf>
    <xf numFmtId="14" fontId="16" fillId="2" borderId="3" xfId="1" applyNumberFormat="1" applyFill="1" applyBorder="1" applyAlignment="1">
      <alignment horizontal="center" wrapText="1"/>
    </xf>
    <xf numFmtId="0" fontId="16" fillId="2" borderId="10" xfId="1" applyFill="1" applyBorder="1" applyAlignment="1">
      <alignment horizontal="center" vertical="center" wrapText="1"/>
    </xf>
    <xf numFmtId="0" fontId="16" fillId="2" borderId="0" xfId="1" applyFill="1"/>
    <xf numFmtId="0" fontId="1" fillId="5" borderId="3" xfId="0" applyFont="1" applyFill="1" applyBorder="1" applyAlignment="1">
      <alignment horizontal="center" wrapText="1"/>
    </xf>
    <xf numFmtId="0" fontId="4" fillId="5" borderId="3" xfId="0" applyFont="1" applyFill="1" applyBorder="1" applyAlignment="1">
      <alignment horizont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top" wrapText="1"/>
    </xf>
    <xf numFmtId="0" fontId="5" fillId="0" borderId="22" xfId="0" applyFont="1" applyBorder="1" applyAlignment="1">
      <alignment horizontal="center" vertical="top" wrapText="1"/>
    </xf>
    <xf numFmtId="0" fontId="5" fillId="0" borderId="23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14" fontId="2" fillId="0" borderId="8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0" borderId="5" xfId="0" applyFont="1" applyBorder="1" applyAlignment="1">
      <alignment horizontal="left" wrapText="1"/>
    </xf>
    <xf numFmtId="0" fontId="13" fillId="0" borderId="5" xfId="0" applyFont="1" applyBorder="1" applyAlignment="1">
      <alignment horizontal="left" vertical="center" wrapText="1"/>
    </xf>
    <xf numFmtId="0" fontId="13" fillId="0" borderId="25" xfId="0" applyFont="1" applyBorder="1" applyAlignment="1">
      <alignment horizontal="left" vertical="center"/>
    </xf>
    <xf numFmtId="0" fontId="13" fillId="0" borderId="26" xfId="0" applyFont="1" applyBorder="1" applyAlignment="1">
      <alignment horizontal="left" vertical="center"/>
    </xf>
  </cellXfs>
  <cellStyles count="2">
    <cellStyle name="Hiperlink" xfId="1" builtinId="8"/>
    <cellStyle name="Normal" xfId="0" builtinId="0"/>
  </cellStyles>
  <dxfs count="51">
    <dxf>
      <fill>
        <patternFill patternType="solid">
          <bgColor rgb="FFFFE389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rgb="FFFFE389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rgb="FFFFE389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rgb="FFFFE389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rgb="FFFFE389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rgb="FFFFE38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rgb="FFFFE389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rgb="FFFFE389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rgb="FFFFE389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rgb="FFFFE389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rgb="FFFFE389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rgb="FFFFE389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rgb="FFFFE389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rgb="FFFFE389"/>
        </patternFill>
      </fill>
    </dxf>
    <dxf>
      <fill>
        <patternFill patternType="solid">
          <bgColor rgb="FFFFE389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rgb="FFFFE389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rgb="FFFFE389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rgb="FFFFE38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rgb="FFFFE389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rgb="FFFFE389"/>
        </patternFill>
      </fill>
    </dxf>
    <dxf>
      <fill>
        <patternFill patternType="solid">
          <bgColor rgb="FFFFE389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rgb="FFFFE389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rgb="FFFFE389"/>
        </patternFill>
      </fill>
    </dxf>
    <dxf>
      <fill>
        <patternFill patternType="solid">
          <bgColor rgb="FFFFE389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rgb="FFFFE389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rgb="FFDDEBF7"/>
          <bgColor rgb="FF000000"/>
        </patternFill>
      </fill>
    </dxf>
  </dxfs>
  <tableStyles count="0" defaultTableStyle="TableStyleMedium2" defaultPivotStyle="PivotStyleLight16"/>
  <colors>
    <mruColors>
      <color rgb="FFFFC5C5"/>
      <color rgb="FFFFA3A3"/>
      <color rgb="FFFFE3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/../../../../../../../../1.%20Aferi&#231;&#227;o/Trena/Trena%20(TR-421).pdf" TargetMode="External"/><Relationship Id="rId299" Type="http://schemas.openxmlformats.org/officeDocument/2006/relationships/hyperlink" Target="../../../../../../../../../1.%20Aferi&#231;&#227;o/Esquadro/Esquadro%20(ESQ-308).pdf" TargetMode="External"/><Relationship Id="rId21" Type="http://schemas.openxmlformats.org/officeDocument/2006/relationships/hyperlink" Target="../../../../../../../../../1.%20Aferi&#231;&#227;o/Calibre%20de%20Solda/Calibre%20de%20Solda%20Hi-lo%20(TAG-%2043).pdf" TargetMode="External"/><Relationship Id="rId63" Type="http://schemas.openxmlformats.org/officeDocument/2006/relationships/hyperlink" Target="../../../../../../../../../1.%20Aferi&#231;&#227;o/N&#237;vel/N&#237;vel%20Bolha%20(NI-051).pdf" TargetMode="External"/><Relationship Id="rId159" Type="http://schemas.openxmlformats.org/officeDocument/2006/relationships/hyperlink" Target="../../../../../../../../../1.%20Aferi&#231;&#227;o/Tubo%20Colorido%20-%20Decantador/Tubo%20Decantador%20%20Colorido%20(TAG%203125).pdf" TargetMode="External"/><Relationship Id="rId324" Type="http://schemas.openxmlformats.org/officeDocument/2006/relationships/hyperlink" Target="../../../../../../../../../1.%20Aferi&#231;&#227;o/Esquadro/ESQ-312%20(2421244).pdf" TargetMode="External"/><Relationship Id="rId366" Type="http://schemas.openxmlformats.org/officeDocument/2006/relationships/hyperlink" Target="../../../../../../../../../1.%20Aferi&#231;&#227;o/Trena/Trena%20(TR-567).pdf" TargetMode="External"/><Relationship Id="rId170" Type="http://schemas.openxmlformats.org/officeDocument/2006/relationships/hyperlink" Target="../../../../../../../../../1.%20Aferi&#231;&#227;o/Termometro/Termometro%20Infravermelho%20(TAG-23).pdf" TargetMode="External"/><Relationship Id="rId226" Type="http://schemas.openxmlformats.org/officeDocument/2006/relationships/hyperlink" Target="../../../../../../../../../1.%20Aferi&#231;&#227;o/Termohigrometro/Termohigr&#244;metro%20(TAG-2108).pdf" TargetMode="External"/><Relationship Id="rId268" Type="http://schemas.openxmlformats.org/officeDocument/2006/relationships/hyperlink" Target="../../../../../../../../../1.%20Aferi&#231;&#227;o/Balan&#231;a/Balan&#231;a%20(1922).pdf" TargetMode="External"/><Relationship Id="rId32" Type="http://schemas.openxmlformats.org/officeDocument/2006/relationships/hyperlink" Target="../../../../../../../../../1.%20Aferi&#231;&#227;o/Durometro/Durometro%20Rockwell%20Portatil%20(1823).pdf" TargetMode="External"/><Relationship Id="rId74" Type="http://schemas.openxmlformats.org/officeDocument/2006/relationships/hyperlink" Target="../../../../../../../../../1.%20Aferi&#231;&#227;o/N&#237;vel/N&#237;vel%20Bolha%20(NB-098-003).pdf" TargetMode="External"/><Relationship Id="rId128" Type="http://schemas.openxmlformats.org/officeDocument/2006/relationships/hyperlink" Target="../../../../../../../../../1.%20Aferi&#231;&#227;o/Trena/Trena%20(TRE-098-003).pdf" TargetMode="External"/><Relationship Id="rId335" Type="http://schemas.openxmlformats.org/officeDocument/2006/relationships/hyperlink" Target="../../../../../../../../../1.%20Aferi&#231;&#227;o/N&#237;vel/N&#237;vel%20Bolha%20(NI-299).pdf" TargetMode="External"/><Relationship Id="rId377" Type="http://schemas.openxmlformats.org/officeDocument/2006/relationships/hyperlink" Target="../../../../../../../../../1.%20Aferi&#231;&#227;o/Man&#244;metro-M&#225;quina%20de%20Jato/Manometros%20197822.pdf" TargetMode="External"/><Relationship Id="rId5" Type="http://schemas.openxmlformats.org/officeDocument/2006/relationships/hyperlink" Target="../../../../../../../../../1.%20Aferi&#231;&#227;o/Barra%20Padr&#227;o/Barra%20Padr&#227;o%20(BPA-005).pdf" TargetMode="External"/><Relationship Id="rId181" Type="http://schemas.openxmlformats.org/officeDocument/2006/relationships/hyperlink" Target="../../../../../../../../../1.%20Aferi&#231;&#227;o/Man&#244;metro/MAN-07_2303494.pdf" TargetMode="External"/><Relationship Id="rId237" Type="http://schemas.openxmlformats.org/officeDocument/2006/relationships/hyperlink" Target="../../../../../../../../../1.%20Aferi&#231;&#227;o/Detector%20de%20Fuga%20de%20G&#225;s/Detector%20de%20Fuga%20de%20G&#225;s%20(2002).pdf" TargetMode="External"/><Relationship Id="rId402" Type="http://schemas.openxmlformats.org/officeDocument/2006/relationships/hyperlink" Target="../../../../../../../../../1.%20Aferi&#231;&#227;o/Trena/Trena%20(TR-583).pdf" TargetMode="External"/><Relationship Id="rId279" Type="http://schemas.openxmlformats.org/officeDocument/2006/relationships/hyperlink" Target="../../../../../../../../../1.%20Aferi&#231;&#227;o/Yoke/Yoke%20(1830).pdf" TargetMode="External"/><Relationship Id="rId43" Type="http://schemas.openxmlformats.org/officeDocument/2006/relationships/hyperlink" Target="../../../../../../../../../1.%20Aferi&#231;&#227;o/Man&#244;metro-M&#225;quina%20de%20Jato/Man&#244;metro-M&#225;quina%20de%20Jato%20(177712).pdf" TargetMode="External"/><Relationship Id="rId139" Type="http://schemas.openxmlformats.org/officeDocument/2006/relationships/hyperlink" Target="../../../../../../../../../1.%20Aferi&#231;&#227;o/Trena/Trena%20(TR-530).pdf" TargetMode="External"/><Relationship Id="rId290" Type="http://schemas.openxmlformats.org/officeDocument/2006/relationships/hyperlink" Target="../../../../../../../../../1.%20Aferi&#231;&#227;o/Medidor%20de%20Camada%20-%20Espessura/Medidor%20de%20Espessura%20Ultrass&#244;nico%20(1933).pdf" TargetMode="External"/><Relationship Id="rId304" Type="http://schemas.openxmlformats.org/officeDocument/2006/relationships/hyperlink" Target="../../../../../../../../../1.%20Aferi&#231;&#227;o/Valvula%20de%20Seguran&#231;a/V&#225;lvula%20de%20Seguran&#231;a%20(VL-06).pdf" TargetMode="External"/><Relationship Id="rId346" Type="http://schemas.openxmlformats.org/officeDocument/2006/relationships/hyperlink" Target="../../../../../../../../../1.%20Aferi&#231;&#227;o/Esquadro/ESQ-311-1%20(2423158).pdf" TargetMode="External"/><Relationship Id="rId388" Type="http://schemas.openxmlformats.org/officeDocument/2006/relationships/hyperlink" Target="../../../../../../../../../1.%20Aferi&#231;&#227;o/Alicate%20Amperimetro/Alicate%20Amperimetro%20(2042).pdf" TargetMode="External"/><Relationship Id="rId85" Type="http://schemas.openxmlformats.org/officeDocument/2006/relationships/hyperlink" Target="../../../../../../../../../1.%20Aferi&#231;&#227;o/Regulador%20de%20Press&#227;o%20-%20Lan&#231;a%20chamas/Regulador%20de%20Press&#227;o%20-%20Lan&#231;a%20Chamas_RP-002.pdf" TargetMode="External"/><Relationship Id="rId150" Type="http://schemas.openxmlformats.org/officeDocument/2006/relationships/hyperlink" Target="../../../../../../../../../1.%20Aferi&#231;&#227;o/Trena/Trena%20(TRE-098-004).pdf" TargetMode="External"/><Relationship Id="rId192" Type="http://schemas.openxmlformats.org/officeDocument/2006/relationships/hyperlink" Target="../../../../../../../../../1.%20Aferi&#231;&#227;o/Meg&#244;metro/Meg&#244;metro%20(1819).pdf" TargetMode="External"/><Relationship Id="rId206" Type="http://schemas.openxmlformats.org/officeDocument/2006/relationships/hyperlink" Target="../../../../../../../../../1.%20Aferi&#231;&#227;o/Detector%20de%20Fuga%20de%20G&#225;s/RBC.0183.23.rev.00.pdf" TargetMode="External"/><Relationship Id="rId413" Type="http://schemas.openxmlformats.org/officeDocument/2006/relationships/hyperlink" Target="../../../../../../../../../1.%20Aferi&#231;&#227;o/Valvula%20de%20Seguran&#231;a/V&#225;lvula%20de%20Seguran&#231;a%20Boing.pdf" TargetMode="External"/><Relationship Id="rId248" Type="http://schemas.openxmlformats.org/officeDocument/2006/relationships/hyperlink" Target="../../../../../../../../../1.%20Aferi&#231;&#227;o/Trena/Trena%20(TR-550).pdf" TargetMode="External"/><Relationship Id="rId12" Type="http://schemas.openxmlformats.org/officeDocument/2006/relationships/hyperlink" Target="../../../../../../../../../1.%20Aferi&#231;&#227;o/Bloco/Bloco%20Padr&#227;o%20Massa%20(CP%20318).pdf" TargetMode="External"/><Relationship Id="rId108" Type="http://schemas.openxmlformats.org/officeDocument/2006/relationships/hyperlink" Target="../../../../../../../../../1.%20Aferi&#231;&#227;o/Termometro/Termometro%20Infravermelho%20(TAG-198).pdf" TargetMode="External"/><Relationship Id="rId315" Type="http://schemas.openxmlformats.org/officeDocument/2006/relationships/hyperlink" Target="../../../../../../../../../1.%20Aferi&#231;&#227;o/Man&#244;metro-M&#225;quina%20de%20Jato/Man&#244;metro%20Anal&#243;gico%20(PS-034).pdf" TargetMode="External"/><Relationship Id="rId357" Type="http://schemas.openxmlformats.org/officeDocument/2006/relationships/hyperlink" Target="../../../../../../../../../1.%20Aferi&#231;&#227;o/Trena/Trena%20(TR-558).pdf" TargetMode="External"/><Relationship Id="rId54" Type="http://schemas.openxmlformats.org/officeDocument/2006/relationships/hyperlink" Target="../../../../../../../../../1.%20Aferi&#231;&#227;o/Meg&#244;metro/Meghometro%20(1116).pdf" TargetMode="External"/><Relationship Id="rId96" Type="http://schemas.openxmlformats.org/officeDocument/2006/relationships/hyperlink" Target="../../../../../../../../../1.%20Aferi&#231;&#227;o/Termohigrometro/Termohigr&#244;metro%20(1815).pdf" TargetMode="External"/><Relationship Id="rId161" Type="http://schemas.openxmlformats.org/officeDocument/2006/relationships/hyperlink" Target="../../../../../../../../../1.%20Aferi&#231;&#227;o/Yoke/Yoke%20(182).pdf" TargetMode="External"/><Relationship Id="rId217" Type="http://schemas.openxmlformats.org/officeDocument/2006/relationships/hyperlink" Target="../../../../../../../../../1.%20Aferi&#231;&#227;o/Trena/Trena%20(TR-539).pdf" TargetMode="External"/><Relationship Id="rId399" Type="http://schemas.openxmlformats.org/officeDocument/2006/relationships/hyperlink" Target="../../../../../../../../../1.%20Aferi&#231;&#227;o/Trena/Trena%20(TR-580).pdf" TargetMode="External"/><Relationship Id="rId259" Type="http://schemas.openxmlformats.org/officeDocument/2006/relationships/hyperlink" Target="../../../../../../../../../1.%20Aferi&#231;&#227;o/Multimetro/Multimetro%20(1848).pdf" TargetMode="External"/><Relationship Id="rId424" Type="http://schemas.openxmlformats.org/officeDocument/2006/relationships/hyperlink" Target="..\Man&#244;metro\LAF-2517528-Man&#244;metro%20Anal&#243;gico%20(MAN-16B).pdf" TargetMode="External"/><Relationship Id="rId23" Type="http://schemas.openxmlformats.org/officeDocument/2006/relationships/hyperlink" Target="../../../../../../../../../1.%20Aferi&#231;&#227;o/Calibre%20de%20Solda/Calibre%20de%20Solda%20Hi-lo%20(TAG-%2045).pdf" TargetMode="External"/><Relationship Id="rId119" Type="http://schemas.openxmlformats.org/officeDocument/2006/relationships/hyperlink" Target="../../../../../../../../../1.%20Aferi&#231;&#227;o/Trena/Trena%20(TR-423).pdf" TargetMode="External"/><Relationship Id="rId270" Type="http://schemas.openxmlformats.org/officeDocument/2006/relationships/hyperlink" Target="../../../../../../../../../1.%20Aferi&#231;&#227;o/Calibre%20de%20Solda/Calibrador%20de%20Solda%20Hi%20Lo%20(CAS-041).pdf" TargetMode="External"/><Relationship Id="rId326" Type="http://schemas.openxmlformats.org/officeDocument/2006/relationships/hyperlink" Target="../../../../../../../../../1.%20Aferi&#231;&#227;o/Esquadro/ESQ-314%20(2421246).pdf" TargetMode="External"/><Relationship Id="rId65" Type="http://schemas.openxmlformats.org/officeDocument/2006/relationships/hyperlink" Target="../../../../../../../../../1.%20Aferi&#231;&#227;o/N&#237;vel/N&#237;vel%20Bolha%20(NI-064).pdf" TargetMode="External"/><Relationship Id="rId130" Type="http://schemas.openxmlformats.org/officeDocument/2006/relationships/hyperlink" Target="../../../../../../../../../1.%20Aferi&#231;&#227;o/Trena/Trena%20(TR-413).pdf" TargetMode="External"/><Relationship Id="rId368" Type="http://schemas.openxmlformats.org/officeDocument/2006/relationships/hyperlink" Target="../../../../../../../../../1.%20Aferi&#231;&#227;o/Trena/Trena%20(TR-569).pdf" TargetMode="External"/><Relationship Id="rId172" Type="http://schemas.openxmlformats.org/officeDocument/2006/relationships/hyperlink" Target="../../../../../../../../../1.%20Aferi&#231;&#227;o/Paquimetro/Paqu&#237;metro%20(Marcelo%20Ricci)%20N2.pdf" TargetMode="External"/><Relationship Id="rId228" Type="http://schemas.openxmlformats.org/officeDocument/2006/relationships/hyperlink" Target="../../../../../../../../../1.%20Aferi&#231;&#227;o/N&#237;vel/N&#237;vel%20Bolha%20(NI-285).pdf" TargetMode="External"/><Relationship Id="rId281" Type="http://schemas.openxmlformats.org/officeDocument/2006/relationships/hyperlink" Target="../../../../../../../../../1.%20Aferi&#231;&#227;o/Paquimetro/Paquimetro%20de%20Prof.%20Digital%20(PNT-002).pdf" TargetMode="External"/><Relationship Id="rId337" Type="http://schemas.openxmlformats.org/officeDocument/2006/relationships/hyperlink" Target="../../../../../../../../../1.%20Aferi&#231;&#227;o/N&#237;vel/N&#237;vel%20Bolha%20(NI-301).pdf" TargetMode="External"/><Relationship Id="rId34" Type="http://schemas.openxmlformats.org/officeDocument/2006/relationships/hyperlink" Target="../../../../../../../../../1.%20Aferi&#231;&#227;o/Fluxometro%20(bibimetro)/Flux&#244;metro%20(Bib&#237;metro%20-FLX-001).pdf" TargetMode="External"/><Relationship Id="rId76" Type="http://schemas.openxmlformats.org/officeDocument/2006/relationships/hyperlink" Target="../../../../../../../../../1.%20Aferi&#231;&#227;o/Paquimetro/Paquimetro%20de%20Profundidade%20Digital%20(P-01).pdf" TargetMode="External"/><Relationship Id="rId141" Type="http://schemas.openxmlformats.org/officeDocument/2006/relationships/hyperlink" Target="../../../../../../../../../1.%20Aferi&#231;&#227;o/Trena/Trena%20(TR-532).pdf" TargetMode="External"/><Relationship Id="rId379" Type="http://schemas.openxmlformats.org/officeDocument/2006/relationships/hyperlink" Target="../../../../../../../../../1.%20Aferi&#231;&#227;o/Certificados%20TH/PI-001AF%20(0506-24).pdf" TargetMode="External"/><Relationship Id="rId7" Type="http://schemas.openxmlformats.org/officeDocument/2006/relationships/hyperlink" Target="../../../../../../../../../1.%20Aferi&#231;&#227;o/Bloco/Bloco%20Curvo%20-Padr&#227;o%20de%20Calibra&#231;&#227;o(Phased%20Array-N&#176;%20002737-21).pdf" TargetMode="External"/><Relationship Id="rId183" Type="http://schemas.openxmlformats.org/officeDocument/2006/relationships/hyperlink" Target="../../../../../../../../../1.%20Aferi&#231;&#227;o/Man&#244;metro/MAN-08-B_2303496.pdf" TargetMode="External"/><Relationship Id="rId239" Type="http://schemas.openxmlformats.org/officeDocument/2006/relationships/hyperlink" Target="../../../../../../../../../1.%20Aferi&#231;&#227;o/Alicate%20Amperimetro/Alicate%20Amper&#237;metro%20(2113).pdf" TargetMode="External"/><Relationship Id="rId390" Type="http://schemas.openxmlformats.org/officeDocument/2006/relationships/hyperlink" Target="../../../../../../../../../1.%20Aferi&#231;&#227;o/Holiday%20Detector/Holiday%20Detector%20(1987).pdf" TargetMode="External"/><Relationship Id="rId404" Type="http://schemas.openxmlformats.org/officeDocument/2006/relationships/hyperlink" Target="../../../../../../../../../1.%20Aferi&#231;&#227;o/Transmissor%20de%20Press&#227;o/Cert%20Transm.r%20de%20Press&#227;o%20-%2059289-204.pdf" TargetMode="External"/><Relationship Id="rId250" Type="http://schemas.openxmlformats.org/officeDocument/2006/relationships/hyperlink" Target="../../../../../../../../../1.%20Aferi&#231;&#227;o/Esquadro/ESQ-305%20(2311804).pdf" TargetMode="External"/><Relationship Id="rId292" Type="http://schemas.openxmlformats.org/officeDocument/2006/relationships/hyperlink" Target="../../../../../../../../../1.%20Aferi&#231;&#227;o/Termometro/Term&#244;metro%20Infravermelho%20(TAG-592).pdf" TargetMode="External"/><Relationship Id="rId306" Type="http://schemas.openxmlformats.org/officeDocument/2006/relationships/hyperlink" Target="../../../../../../../../../1.%20Aferi&#231;&#227;o/Valvula%20de%20Seguran&#231;a/V&#225;lvula%20de%20Seguran&#231;a%20(VL-03).pdf" TargetMode="External"/><Relationship Id="rId45" Type="http://schemas.openxmlformats.org/officeDocument/2006/relationships/hyperlink" Target="../../../../../../../../../1.%20Aferi&#231;&#227;o/Haste%20padr&#227;o/Haste%20Padr&#227;o%20(319-1).pdf" TargetMode="External"/><Relationship Id="rId87" Type="http://schemas.openxmlformats.org/officeDocument/2006/relationships/hyperlink" Target="../../../../../../../../../1.%20Aferi&#231;&#227;o/Termohigrometro/Termohigrometro%20Digital%20(TAG-31).pdf" TargetMode="External"/><Relationship Id="rId110" Type="http://schemas.openxmlformats.org/officeDocument/2006/relationships/hyperlink" Target="../../../../../../../../../1.%20Aferi&#231;&#227;o/Transferidor%20(Goniometro)/Transferidor%20de%20Angulo%20-GO-001.pdf" TargetMode="External"/><Relationship Id="rId348" Type="http://schemas.openxmlformats.org/officeDocument/2006/relationships/hyperlink" Target="../../../../../../../../../1.%20Aferi&#231;&#227;o/Trena/Trena%20(TR-552).pdf" TargetMode="External"/><Relationship Id="rId152" Type="http://schemas.openxmlformats.org/officeDocument/2006/relationships/hyperlink" Target="../../../../../../../../../1.%20Aferi&#231;&#227;o/Trena/Trena%20(TRE-098-005).pdf" TargetMode="External"/><Relationship Id="rId194" Type="http://schemas.openxmlformats.org/officeDocument/2006/relationships/hyperlink" Target="../../../../../../../../../1.%20Aferi&#231;&#227;o/Man&#244;metro/MAN-3054%20(2304190).pdf" TargetMode="External"/><Relationship Id="rId208" Type="http://schemas.openxmlformats.org/officeDocument/2006/relationships/hyperlink" Target="../../../../../../../../../1.%20Aferi&#231;&#227;o/Luximetro/Lux&#237;metro%20(0776).pdf" TargetMode="External"/><Relationship Id="rId415" Type="http://schemas.openxmlformats.org/officeDocument/2006/relationships/hyperlink" Target="..\Man&#244;metro\LAF-2517519-Man&#244;metro%20Anal&#243;gico%20(MAN-12A).pdf" TargetMode="External"/><Relationship Id="rId261" Type="http://schemas.openxmlformats.org/officeDocument/2006/relationships/hyperlink" Target="../../../../../../../../../1.%20Aferi&#231;&#227;o/Regua/R&#233;gua%20Graduada%20(RG-010).pdf" TargetMode="External"/><Relationship Id="rId14" Type="http://schemas.openxmlformats.org/officeDocument/2006/relationships/hyperlink" Target="../../../../../../../../../1.%20Aferi&#231;&#227;o/Conjunto%20de%20Filmes/Conjunto%20de%20Filmes%20Padr&#227;o-%201812-F.pdf" TargetMode="External"/><Relationship Id="rId56" Type="http://schemas.openxmlformats.org/officeDocument/2006/relationships/hyperlink" Target="../../../../../../../../../1.%20Aferi&#231;&#227;o/Micrometro/Micrometro%20(319).pdf" TargetMode="External"/><Relationship Id="rId317" Type="http://schemas.openxmlformats.org/officeDocument/2006/relationships/hyperlink" Target="../../../../../../../../../1.%20Aferi&#231;&#227;o/Calibre%20de%20Solda/Calibre%20de%20Solda%20(CAS-033).pdf" TargetMode="External"/><Relationship Id="rId359" Type="http://schemas.openxmlformats.org/officeDocument/2006/relationships/hyperlink" Target="../../../../../../../../../1.%20Aferi&#231;&#227;o/Trena/Trena%20(TR-560).pdf" TargetMode="External"/><Relationship Id="rId98" Type="http://schemas.openxmlformats.org/officeDocument/2006/relationships/hyperlink" Target="../../../../../../../../../1.%20Aferi&#231;&#227;o/Termometro/Termometro%20Infravermelho%20(TAG-26).pdf" TargetMode="External"/><Relationship Id="rId121" Type="http://schemas.openxmlformats.org/officeDocument/2006/relationships/hyperlink" Target="../../../../../../../../../1.%20Aferi&#231;&#227;o/Trena/Trena%20(TR-425).pdf" TargetMode="External"/><Relationship Id="rId163" Type="http://schemas.openxmlformats.org/officeDocument/2006/relationships/hyperlink" Target="../../../../../../../../../1.%20Aferi&#231;&#227;o/Yoke/Yoke-184.pdf" TargetMode="External"/><Relationship Id="rId219" Type="http://schemas.openxmlformats.org/officeDocument/2006/relationships/hyperlink" Target="../../../../../../../../../1.%20Aferi&#231;&#227;o/Ultrassom%20Phased%20Array/Ultrassom%20Phased%20Array%20(END-001).pdf" TargetMode="External"/><Relationship Id="rId370" Type="http://schemas.openxmlformats.org/officeDocument/2006/relationships/hyperlink" Target="../../../../../../../../../1.%20Aferi&#231;&#227;o/Trena/Trena%20(TR-571).pdf" TargetMode="External"/><Relationship Id="rId426" Type="http://schemas.openxmlformats.org/officeDocument/2006/relationships/hyperlink" Target="..\Man&#244;metro\LAF-2517530-Man&#244;metro%20Anal&#243;gico%20(MAN-17B).pdf" TargetMode="External"/><Relationship Id="rId230" Type="http://schemas.openxmlformats.org/officeDocument/2006/relationships/hyperlink" Target="../../../../../../../../../1.%20Aferi&#231;&#227;o/N&#237;vel/N&#237;vel%20Bolha%20(NI-287).pdf" TargetMode="External"/><Relationship Id="rId25" Type="http://schemas.openxmlformats.org/officeDocument/2006/relationships/hyperlink" Target="../../../../../../../../../1.%20Aferi&#231;&#227;o/Detector%20de%20Fuga%20de%20G&#225;s/Detector%20Port&#225;til%20de%20G&#225;s%20-%20KA419-6011276%20(600).pdf" TargetMode="External"/><Relationship Id="rId67" Type="http://schemas.openxmlformats.org/officeDocument/2006/relationships/hyperlink" Target="../../../../../../../../../1.%20Aferi&#231;&#227;o/N&#237;vel/N&#237;vel%20Bolha%20(NI-067).pdf" TargetMode="External"/><Relationship Id="rId272" Type="http://schemas.openxmlformats.org/officeDocument/2006/relationships/hyperlink" Target="../../../../../../../../../1.%20Aferi&#231;&#227;o/Detector%20de%20Fuga%20de%20G&#225;s/Detector%20Port&#225;til%20de%20G&#225;s%20(2100).pdf" TargetMode="External"/><Relationship Id="rId328" Type="http://schemas.openxmlformats.org/officeDocument/2006/relationships/hyperlink" Target="../../../../../../../../../1.%20Aferi&#231;&#227;o/Esquadro/ESQ-316%20(2421248).pdf" TargetMode="External"/><Relationship Id="rId132" Type="http://schemas.openxmlformats.org/officeDocument/2006/relationships/hyperlink" Target="../../../../../../../../../1.%20Aferi&#231;&#227;o/Trena/Trena%20(TR-416).pdf" TargetMode="External"/><Relationship Id="rId174" Type="http://schemas.openxmlformats.org/officeDocument/2006/relationships/hyperlink" Target="../../../../../../../../../1.%20Aferi&#231;&#227;o/Man&#244;metro/MAN-01_2303331.pdf" TargetMode="External"/><Relationship Id="rId381" Type="http://schemas.openxmlformats.org/officeDocument/2006/relationships/hyperlink" Target="../../../../../../../../../1.%20Aferi&#231;&#227;o/Certificados%20TH/PT-001AF%20(0505-24)A.pdf" TargetMode="External"/><Relationship Id="rId241" Type="http://schemas.openxmlformats.org/officeDocument/2006/relationships/hyperlink" Target="../../../../../../../../../1.%20Aferi&#231;&#227;o/Trena/Trena%20(TR-541).pdf" TargetMode="External"/><Relationship Id="rId36" Type="http://schemas.openxmlformats.org/officeDocument/2006/relationships/hyperlink" Target="../../../../../../../../../1.%20Aferi&#231;&#227;o/Holiday%20Detector/Holyday%20Detector%20(0593).pdf" TargetMode="External"/><Relationship Id="rId283" Type="http://schemas.openxmlformats.org/officeDocument/2006/relationships/hyperlink" Target="../../../../../../../../../1.%20Aferi&#231;&#227;o/Termohigrometro/Termohigrometro%20(034).pdf" TargetMode="External"/><Relationship Id="rId339" Type="http://schemas.openxmlformats.org/officeDocument/2006/relationships/hyperlink" Target="../../../../../../../../../1.%20Aferi&#231;&#227;o/N&#237;vel/N&#237;vel%20Bolha%20(NI-303).pdf" TargetMode="External"/><Relationship Id="rId78" Type="http://schemas.openxmlformats.org/officeDocument/2006/relationships/hyperlink" Target="../../../../../../../../../1.%20Aferi&#231;&#227;o/Paquimetro/Paquimetro%20Universal%20Digital%20(PAQ-002).pdf" TargetMode="External"/><Relationship Id="rId101" Type="http://schemas.openxmlformats.org/officeDocument/2006/relationships/hyperlink" Target="../../../../../../../../../1.%20Aferi&#231;&#227;o/Termometro/Termometro%20Infravermelho%20(TAG-29).pdf" TargetMode="External"/><Relationship Id="rId143" Type="http://schemas.openxmlformats.org/officeDocument/2006/relationships/hyperlink" Target="../../../../../../../../../1.%20Aferi&#231;&#227;o/Trena/Trena%20(TR-534).pdf" TargetMode="External"/><Relationship Id="rId185" Type="http://schemas.openxmlformats.org/officeDocument/2006/relationships/hyperlink" Target="../../../../../../../../../1.%20Aferi&#231;&#227;o/Man&#244;metro/MAN-09-B_2303498.pdf" TargetMode="External"/><Relationship Id="rId350" Type="http://schemas.openxmlformats.org/officeDocument/2006/relationships/hyperlink" Target="../../../../../../../../../1.%20Aferi&#231;&#227;o/Trena/Trena%20(TR-553-1).pdf" TargetMode="External"/><Relationship Id="rId406" Type="http://schemas.openxmlformats.org/officeDocument/2006/relationships/hyperlink" Target="../../../../../../../../../1.%20Aferi&#231;&#227;o/Man&#244;metro/T%20119010-25.pdf" TargetMode="External"/><Relationship Id="rId9" Type="http://schemas.openxmlformats.org/officeDocument/2006/relationships/hyperlink" Target="../../../../../../../../../1.%20Aferi&#231;&#227;o/Bloco/Bloco%20Escalonado%20(BL%2006).pdf" TargetMode="External"/><Relationship Id="rId210" Type="http://schemas.openxmlformats.org/officeDocument/2006/relationships/hyperlink" Target="../../../../../../../../../1.%20Aferi&#231;&#227;o/Man&#244;metro/Man&#244;metro%20Analogico%20(239794%20)%202425227.pdf" TargetMode="External"/><Relationship Id="rId392" Type="http://schemas.openxmlformats.org/officeDocument/2006/relationships/hyperlink" Target="../../../../../../../../../1.%20Aferi&#231;&#227;o/Fluxometro%20(Bibimetro)/FLUXOMETRO%20(FLX_003).pdf" TargetMode="External"/><Relationship Id="rId252" Type="http://schemas.openxmlformats.org/officeDocument/2006/relationships/hyperlink" Target="../../../../../../../../../1.%20Aferi&#231;&#227;o/Esquadro/ESQ-307%20(2311806).pdf" TargetMode="External"/><Relationship Id="rId294" Type="http://schemas.openxmlformats.org/officeDocument/2006/relationships/hyperlink" Target="../../../../../../../../../1.%20Aferi&#231;&#227;o/N&#237;vel/Inclin&#244;metro%20Digita%20(1863).pdf" TargetMode="External"/><Relationship Id="rId308" Type="http://schemas.openxmlformats.org/officeDocument/2006/relationships/hyperlink" Target="../../../../../../../../../1.%20Aferi&#231;&#227;o/Valvula%20de%20Seguran&#231;a/V&#225;lvula%20de%20Seguran&#231;a%20(VL-05).pdf" TargetMode="External"/><Relationship Id="rId47" Type="http://schemas.openxmlformats.org/officeDocument/2006/relationships/hyperlink" Target="../../../../../../../../../1.%20Aferi&#231;&#227;o/Haste%20padr&#227;o/Haste%20Padr&#227;o%20(1918-1).pdf" TargetMode="External"/><Relationship Id="rId89" Type="http://schemas.openxmlformats.org/officeDocument/2006/relationships/hyperlink" Target="../../../../../../../../../1.%20Aferi&#231;&#227;o/Termohigrometro/Termohigrometro%20Digital%20(TAG-33).pdf" TargetMode="External"/><Relationship Id="rId112" Type="http://schemas.openxmlformats.org/officeDocument/2006/relationships/hyperlink" Target="../../../../../../../../../1.%20Aferi&#231;&#227;o/Trena/Trena%20(TR-414).pdf" TargetMode="External"/><Relationship Id="rId154" Type="http://schemas.openxmlformats.org/officeDocument/2006/relationships/hyperlink" Target="../../../../../../../../../1.%20Aferi&#231;&#227;o/Tubo%20Colorido%20-%20Decantador/Tubo%20decantador%20Graduado%20-%20TD201C.pdf" TargetMode="External"/><Relationship Id="rId361" Type="http://schemas.openxmlformats.org/officeDocument/2006/relationships/hyperlink" Target="../../../../../../../../../1.%20Aferi&#231;&#227;o/Trena/Trena%20(TR-562).pdf" TargetMode="External"/><Relationship Id="rId196" Type="http://schemas.openxmlformats.org/officeDocument/2006/relationships/hyperlink" Target="../../../../../../../../../1.%20Aferi&#231;&#227;o/Man&#244;metro/MAN-239791%20(2304196).pdf" TargetMode="External"/><Relationship Id="rId417" Type="http://schemas.openxmlformats.org/officeDocument/2006/relationships/hyperlink" Target="..\Man&#244;metro\LAF-2517521-Man&#244;metro%20Anal&#243;gico%20(MAN-13B).pdf" TargetMode="External"/><Relationship Id="rId16" Type="http://schemas.openxmlformats.org/officeDocument/2006/relationships/hyperlink" Target="../../../../../../../../../1.%20Aferi&#231;&#227;o/Isocal%20Calibrador/00089-SOCINTEC-Multicalibrador%20Isocal%20msc-8%20venc%2012-05-2023.pdf" TargetMode="External"/><Relationship Id="rId221" Type="http://schemas.openxmlformats.org/officeDocument/2006/relationships/hyperlink" Target="../../../../../../../../../1.%20Aferi&#231;&#227;o/Termometro/Term&#244;metro%20Infravermelho%20(TAG-2107).pdf" TargetMode="External"/><Relationship Id="rId263" Type="http://schemas.openxmlformats.org/officeDocument/2006/relationships/hyperlink" Target="../../../../../../../../../1.%20Aferi&#231;&#227;o/Torquimetro/Torquimetro%20(TAG-1805).pdf" TargetMode="External"/><Relationship Id="rId319" Type="http://schemas.openxmlformats.org/officeDocument/2006/relationships/hyperlink" Target="../../../../../../../../../1.%20Aferi&#231;&#227;o/Calibre%20de%20Solda/Calibre%20de%20Solda%20(CAS-047).pdf" TargetMode="External"/><Relationship Id="rId58" Type="http://schemas.openxmlformats.org/officeDocument/2006/relationships/hyperlink" Target="../../../../../../../../../1.%20Aferi&#231;&#227;o/Multimetro/Mult&#237;metro%20(1412).pdf" TargetMode="External"/><Relationship Id="rId123" Type="http://schemas.openxmlformats.org/officeDocument/2006/relationships/hyperlink" Target="../../../../../../../../../1.%20Aferi&#231;&#227;o/Trena/Trena%20(TR-012).pdf" TargetMode="External"/><Relationship Id="rId330" Type="http://schemas.openxmlformats.org/officeDocument/2006/relationships/hyperlink" Target="../../../../../../../../../1.%20Aferi&#231;&#227;o/Esquadro/ESQ-318%20(2421250).pdf" TargetMode="External"/><Relationship Id="rId165" Type="http://schemas.openxmlformats.org/officeDocument/2006/relationships/hyperlink" Target="../../../../../../../../../1.%20Aferi&#231;&#227;o/Yoke/Yoke%20(186).pdf" TargetMode="External"/><Relationship Id="rId372" Type="http://schemas.openxmlformats.org/officeDocument/2006/relationships/hyperlink" Target="../../../../../../../../../1.%20Aferi&#231;&#227;o/Trena/Trena%20(TR-573).pdf" TargetMode="External"/><Relationship Id="rId428" Type="http://schemas.openxmlformats.org/officeDocument/2006/relationships/hyperlink" Target="..\Man&#244;metro\LAF-2517532-Man&#244;metro%20Anal&#243;gico%20(MAN-18B).pdf" TargetMode="External"/><Relationship Id="rId232" Type="http://schemas.openxmlformats.org/officeDocument/2006/relationships/hyperlink" Target="../../../../../../../../../1.%20Aferi&#231;&#227;o/Trena/Trena%20(TR-542).pdf" TargetMode="External"/><Relationship Id="rId274" Type="http://schemas.openxmlformats.org/officeDocument/2006/relationships/hyperlink" Target="../../../../../../../../../1.%20Aferi&#231;&#227;o/Esquadro/Esquadro%20Combinado%20(1077).pdf" TargetMode="External"/><Relationship Id="rId27" Type="http://schemas.openxmlformats.org/officeDocument/2006/relationships/hyperlink" Target="../../../../../../../../../1.%20Aferi&#231;&#227;o/Detector%20de%20Fuga%20de%20G&#225;s/Detector%20de%20Fuga%20de%20G&#225;s%20(1866).pdf" TargetMode="External"/><Relationship Id="rId69" Type="http://schemas.openxmlformats.org/officeDocument/2006/relationships/hyperlink" Target="../../../../../../../../../1.%20Aferi&#231;&#227;o/N&#237;vel/N&#237;vel%20Bolha%20(NI-069).pdf" TargetMode="External"/><Relationship Id="rId134" Type="http://schemas.openxmlformats.org/officeDocument/2006/relationships/hyperlink" Target="../../../../../../../../../1.%20Aferi&#231;&#227;o/Trena/Trena%20(TR-419).pdf" TargetMode="External"/><Relationship Id="rId80" Type="http://schemas.openxmlformats.org/officeDocument/2006/relationships/hyperlink" Target="../../../../../../../../../1.%20Aferi&#231;&#227;o/Peso%20Padr&#227;o/Peso%20Padr&#227;o%20(TAG-319).pdf" TargetMode="External"/><Relationship Id="rId176" Type="http://schemas.openxmlformats.org/officeDocument/2006/relationships/hyperlink" Target="../../../../../../../../../1.%20Aferi&#231;&#227;o/Man&#244;metro/MAN-03_2303333.pdf" TargetMode="External"/><Relationship Id="rId341" Type="http://schemas.openxmlformats.org/officeDocument/2006/relationships/hyperlink" Target="../../../../../../../../../1.%20Aferi&#231;&#227;o/N&#237;vel/N&#237;vel%20Bolha%20(NI-305).pdf" TargetMode="External"/><Relationship Id="rId383" Type="http://schemas.openxmlformats.org/officeDocument/2006/relationships/hyperlink" Target="../../../../../../../../../1.%20Aferi&#231;&#227;o/Man&#244;metro/Manometro%20Analogico%20(LMP443071-24).pdf" TargetMode="External"/><Relationship Id="rId201" Type="http://schemas.openxmlformats.org/officeDocument/2006/relationships/hyperlink" Target="../../../../../../../../../1.%20Aferi&#231;&#227;o/Detector%20de%20Fuga%20de%20G&#225;s/RBC.0156.23.rev.00.pdf" TargetMode="External"/><Relationship Id="rId243" Type="http://schemas.openxmlformats.org/officeDocument/2006/relationships/hyperlink" Target="../../../../../../../../../1.%20Aferi&#231;&#227;o/Trena/Trena%20(TR-545).pdf" TargetMode="External"/><Relationship Id="rId285" Type="http://schemas.openxmlformats.org/officeDocument/2006/relationships/hyperlink" Target="../../../../../../../../../1.%20Aferi&#231;&#227;o/Medidor%20de%20Camada%20-%20Espessura/Medidor%20de%20Camada%20&#218;mida%20(135).pdf" TargetMode="External"/><Relationship Id="rId38" Type="http://schemas.openxmlformats.org/officeDocument/2006/relationships/hyperlink" Target="../../../../../../../../../1.%20Aferi&#231;&#227;o/Luximetro/Lux&#237;metro%20(1252).pdf" TargetMode="External"/><Relationship Id="rId103" Type="http://schemas.openxmlformats.org/officeDocument/2006/relationships/hyperlink" Target="../../../../../../../../../1.%20Aferi&#231;&#227;o/Termometro/Term&#244;metro%20Infravermelho%20(TAG-144).pdf" TargetMode="External"/><Relationship Id="rId310" Type="http://schemas.openxmlformats.org/officeDocument/2006/relationships/hyperlink" Target="../../../../../../../../../1.%20Aferi&#231;&#227;o/Paquimetro/Paqu&#237;metro%20Digital%20(13-40007).pdf" TargetMode="External"/><Relationship Id="rId91" Type="http://schemas.openxmlformats.org/officeDocument/2006/relationships/hyperlink" Target="../../../../../../../../../1.%20Aferi&#231;&#227;o/Termohigrometro/Termohigrometro%20Digital%20(TAG-37).pdf" TargetMode="External"/><Relationship Id="rId145" Type="http://schemas.openxmlformats.org/officeDocument/2006/relationships/hyperlink" Target="../../../../../../../../../1.%20Aferi&#231;&#227;o/Trena/Trena%20(TR-536).pdf" TargetMode="External"/><Relationship Id="rId187" Type="http://schemas.openxmlformats.org/officeDocument/2006/relationships/hyperlink" Target="../../../../../../../../../1.%20Aferi&#231;&#227;o/Man&#244;metro/MAN-10-B_2303500.pdf" TargetMode="External"/><Relationship Id="rId352" Type="http://schemas.openxmlformats.org/officeDocument/2006/relationships/hyperlink" Target="../../../../../../../../../1.%20Aferi&#231;&#227;o/Trena/Trena%20(TR-554-1).pdf" TargetMode="External"/><Relationship Id="rId394" Type="http://schemas.openxmlformats.org/officeDocument/2006/relationships/hyperlink" Target="../../../../../../../../../1.%20Aferi&#231;&#227;o/Trena/Trena%20(TR-575).pdf" TargetMode="External"/><Relationship Id="rId408" Type="http://schemas.openxmlformats.org/officeDocument/2006/relationships/hyperlink" Target="../../../../../../../../../1.%20Aferi&#231;&#227;o/Man&#244;metro/443073_2501250.pdf" TargetMode="External"/><Relationship Id="rId1" Type="http://schemas.openxmlformats.org/officeDocument/2006/relationships/hyperlink" Target="../../../../../../../../../1.%20Aferi&#231;&#227;o/Barra%20Padr&#227;o/Barra%20Padr&#227;o%20(BPA-001).pdf" TargetMode="External"/><Relationship Id="rId212" Type="http://schemas.openxmlformats.org/officeDocument/2006/relationships/hyperlink" Target="../../../../../../../../../1.%20Aferi&#231;&#227;o/Calibre%20de%20Solda/Calibre%20de%20Solda%20(CAS-021).pdf" TargetMode="External"/><Relationship Id="rId233" Type="http://schemas.openxmlformats.org/officeDocument/2006/relationships/hyperlink" Target="../../../../../../../../../1.%20Aferi&#231;&#227;o/Trena/Trena%20(TR-543).pdf" TargetMode="External"/><Relationship Id="rId254" Type="http://schemas.openxmlformats.org/officeDocument/2006/relationships/hyperlink" Target="../../../../../../../../../1.%20Aferi&#231;&#227;o/N&#237;vel/N&#237;vel%20Bolha%20(NI-289).pdf" TargetMode="External"/><Relationship Id="rId28" Type="http://schemas.openxmlformats.org/officeDocument/2006/relationships/hyperlink" Target="../../../../../../../../../1.%20Aferi&#231;&#227;o/Detector%20de%20Fuga%20de%20G&#225;s/Detector%20de%20Fuga%20de%20G&#225;s%20(1982).pdf" TargetMode="External"/><Relationship Id="rId49" Type="http://schemas.openxmlformats.org/officeDocument/2006/relationships/hyperlink" Target="../../../../../../../../../1.%20Aferi&#231;&#227;o/Medidor%20de%20Camada%20-%20Espessura/Medidor%20de%20Camada%20&#218;mida%20(134).pdf" TargetMode="External"/><Relationship Id="rId114" Type="http://schemas.openxmlformats.org/officeDocument/2006/relationships/hyperlink" Target="../../../../../../../../../1.%20Aferi&#231;&#227;o/Trena/Trena%20(TR-415).pdf" TargetMode="External"/><Relationship Id="rId275" Type="http://schemas.openxmlformats.org/officeDocument/2006/relationships/hyperlink" Target="../../../../../../../../../1.%20Aferi&#231;&#227;o/Holiday%20Detector/Holiday%20Detector%20(1828).pdf" TargetMode="External"/><Relationship Id="rId296" Type="http://schemas.openxmlformats.org/officeDocument/2006/relationships/hyperlink" Target="../../../../../../../../../1.%20Aferi&#231;&#227;o/N&#237;vel/N&#237;vel%20de%20Bolha%20(NI-071).pdf" TargetMode="External"/><Relationship Id="rId300" Type="http://schemas.openxmlformats.org/officeDocument/2006/relationships/hyperlink" Target="../../../../../../../../../1.%20Aferi&#231;&#227;o/Esquadro/Esquadro%20Combinado%20(1841).pdf" TargetMode="External"/><Relationship Id="rId60" Type="http://schemas.openxmlformats.org/officeDocument/2006/relationships/hyperlink" Target="../../../../../../../../../1.%20Aferi&#231;&#227;o/N&#237;vel/N&#237;vel%20de%20Bolha%20(NI-105-22).pdf" TargetMode="External"/><Relationship Id="rId81" Type="http://schemas.openxmlformats.org/officeDocument/2006/relationships/hyperlink" Target="../../../../../../../../../1.%20Aferi&#231;&#227;o/Peso%20Padr&#227;o/Peso%20Padrao%20(TAG%203218).pdf" TargetMode="External"/><Relationship Id="rId135" Type="http://schemas.openxmlformats.org/officeDocument/2006/relationships/hyperlink" Target="../../../../../../../../../1.%20Aferi&#231;&#227;o/Trena/Trena%20(TR-526).pdf" TargetMode="External"/><Relationship Id="rId156" Type="http://schemas.openxmlformats.org/officeDocument/2006/relationships/hyperlink" Target="../../../../../../../../../1.%20Aferi&#231;&#227;o/Tubo%20Colorido%20-%20Decantador/Tubo%20decantador%20-%20VID-002.pdf" TargetMode="External"/><Relationship Id="rId177" Type="http://schemas.openxmlformats.org/officeDocument/2006/relationships/hyperlink" Target="../../../../../../../../../1.%20Aferi&#231;&#227;o/Man&#244;metro/MAN-04_2303334.pdf" TargetMode="External"/><Relationship Id="rId198" Type="http://schemas.openxmlformats.org/officeDocument/2006/relationships/hyperlink" Target="../../../../../../../../../1.%20Aferi&#231;&#227;o/Meg&#244;metro/Megometro%20-953(2300535).pdf" TargetMode="External"/><Relationship Id="rId321" Type="http://schemas.openxmlformats.org/officeDocument/2006/relationships/hyperlink" Target="../../../../../../../../../1.%20Aferi&#231;&#227;o/Esquadro/ESQ-309%20(2421241).pdf" TargetMode="External"/><Relationship Id="rId342" Type="http://schemas.openxmlformats.org/officeDocument/2006/relationships/hyperlink" Target="../../../../../../../../../1.%20Aferi&#231;&#227;o/N&#237;vel/N&#237;vel%20Bolha%20(NI-306).pdf" TargetMode="External"/><Relationship Id="rId363" Type="http://schemas.openxmlformats.org/officeDocument/2006/relationships/hyperlink" Target="../../../../../../../../../1.%20Aferi&#231;&#227;o/Trena/Trena%20(TR-564).pdf" TargetMode="External"/><Relationship Id="rId384" Type="http://schemas.openxmlformats.org/officeDocument/2006/relationships/hyperlink" Target="../../../../../../../../../1.%20Aferi&#231;&#227;o/Man&#244;metro/Manometro%20Analogico%20(LMP443072-24).pdf" TargetMode="External"/><Relationship Id="rId419" Type="http://schemas.openxmlformats.org/officeDocument/2006/relationships/hyperlink" Target="..\Man&#244;metro\LAF-2517523-Man&#244;metro%20Anal&#243;gico%20(MAN-14A).pdf" TargetMode="External"/><Relationship Id="rId202" Type="http://schemas.openxmlformats.org/officeDocument/2006/relationships/hyperlink" Target="../../../../../../../../../1.%20Aferi&#231;&#227;o/Trena/Trena%20(TRE-004).pdf" TargetMode="External"/><Relationship Id="rId223" Type="http://schemas.openxmlformats.org/officeDocument/2006/relationships/hyperlink" Target="..\Termohigrometro\Termohigrometo%20(2109).pdf" TargetMode="External"/><Relationship Id="rId244" Type="http://schemas.openxmlformats.org/officeDocument/2006/relationships/hyperlink" Target="../../../../../../../../../1.%20Aferi&#231;&#227;o/Trena/Trena%20(TR-546).pdf" TargetMode="External"/><Relationship Id="rId430" Type="http://schemas.openxmlformats.org/officeDocument/2006/relationships/hyperlink" Target="..\Man&#244;metro\LAF-2517534-Man&#244;metro%20Anal&#243;gico%20(MAN-19B).pdf" TargetMode="External"/><Relationship Id="rId18" Type="http://schemas.openxmlformats.org/officeDocument/2006/relationships/hyperlink" Target="..\Calibre%20de%20Solda\Calibrador%20de%20Solda%20(CAS-022).pdf" TargetMode="External"/><Relationship Id="rId39" Type="http://schemas.openxmlformats.org/officeDocument/2006/relationships/hyperlink" Target="../../../../../../../../../1.%20Aferi&#231;&#227;o/Man&#244;metro-M&#225;quina%20de%20Jato/Man&#244;metro-M&#225;quina%20de%20Jato%20(175918).pdf" TargetMode="External"/><Relationship Id="rId265" Type="http://schemas.openxmlformats.org/officeDocument/2006/relationships/hyperlink" Target="../../../../../../../../../1.%20Aferi&#231;&#227;o/Man&#244;metro/Manometro%200-25%20kgf%20(8200DA310.pdf" TargetMode="External"/><Relationship Id="rId286" Type="http://schemas.openxmlformats.org/officeDocument/2006/relationships/hyperlink" Target="../../../../../../../../../1.%20Aferi&#231;&#227;o/Rugosimetro/Rugos&#237;metro%20(1965).pdf" TargetMode="External"/><Relationship Id="rId50" Type="http://schemas.openxmlformats.org/officeDocument/2006/relationships/hyperlink" Target="../../../../../../../../../1.%20Aferi&#231;&#227;o/Medidor%20de%20Camada%20-%20Espessura/Medidor%20de%20Camada%20Ferroso%20(TAG-1812).pdf" TargetMode="External"/><Relationship Id="rId104" Type="http://schemas.openxmlformats.org/officeDocument/2006/relationships/hyperlink" Target="../../../../../../../../../1.%20Aferi&#231;&#227;o/Termometro/Term&#244;metro%20Infravermelho%20-%20TI-001%20(TAG-170).pdf" TargetMode="External"/><Relationship Id="rId125" Type="http://schemas.openxmlformats.org/officeDocument/2006/relationships/hyperlink" Target="../../../../../../../../../1.%20Aferi&#231;&#227;o/Trena/Trena%20(TRE-014).pdf" TargetMode="External"/><Relationship Id="rId146" Type="http://schemas.openxmlformats.org/officeDocument/2006/relationships/hyperlink" Target="../../../../../../../../../1.%20Aferi&#231;&#227;o/Trena/Trena%20(TR-536-1).pdf" TargetMode="External"/><Relationship Id="rId167" Type="http://schemas.openxmlformats.org/officeDocument/2006/relationships/hyperlink" Target="../../../../../../../../../1.%20Aferi&#231;&#227;o/Yoke/Yoke%20(1831).pdf" TargetMode="External"/><Relationship Id="rId188" Type="http://schemas.openxmlformats.org/officeDocument/2006/relationships/hyperlink" Target="../../../../../../../../../1.%20Aferi&#231;&#227;o/Man&#244;metro/MAN-11-A_2303501.pdf" TargetMode="External"/><Relationship Id="rId311" Type="http://schemas.openxmlformats.org/officeDocument/2006/relationships/hyperlink" Target="../../../../../../../../../1.%20Aferi&#231;&#227;o/Relogio%20Comparador/Rel&#243;gio%20Comparador%20Digital%20(187).pdf" TargetMode="External"/><Relationship Id="rId332" Type="http://schemas.openxmlformats.org/officeDocument/2006/relationships/hyperlink" Target="../../../../../../../../../1.%20Aferi&#231;&#227;o/N&#237;vel/N&#237;vel%20Bolha%20(NI-296).pdf" TargetMode="External"/><Relationship Id="rId353" Type="http://schemas.openxmlformats.org/officeDocument/2006/relationships/hyperlink" Target="../../../../../../../../../1.%20Aferi&#231;&#227;o/Trena/Trena%20(TR-555).pdf" TargetMode="External"/><Relationship Id="rId374" Type="http://schemas.openxmlformats.org/officeDocument/2006/relationships/hyperlink" Target="../../../../../../../../../1.%20Aferi&#231;&#227;o/Esquadro/ESQN-002_2423156.pdf" TargetMode="External"/><Relationship Id="rId395" Type="http://schemas.openxmlformats.org/officeDocument/2006/relationships/hyperlink" Target="../../../../../../../../../1.%20Aferi&#231;&#227;o/Trena/Trena%20(TR-576).pdf" TargetMode="External"/><Relationship Id="rId409" Type="http://schemas.openxmlformats.org/officeDocument/2006/relationships/hyperlink" Target="../../../../../../../../../1.%20Aferi&#231;&#227;o/Man&#244;metro/MPR-109_2501248.pdf" TargetMode="External"/><Relationship Id="rId71" Type="http://schemas.openxmlformats.org/officeDocument/2006/relationships/hyperlink" Target="../../../../../../../../../1.%20Aferi&#231;&#227;o/N&#237;vel/N&#237;vel%20Bolha%20(NI-072).pdf" TargetMode="External"/><Relationship Id="rId92" Type="http://schemas.openxmlformats.org/officeDocument/2006/relationships/hyperlink" Target="../../../../../../../../../1.%20Aferi&#231;&#227;o/Termohigrometro/Termohigrometro%20Digital%20(TAG-38).pdf" TargetMode="External"/><Relationship Id="rId213" Type="http://schemas.openxmlformats.org/officeDocument/2006/relationships/hyperlink" Target="../../../../../../../../../1.%20Aferi&#231;&#227;o/Calibre%20de%20Solda/Calibre%20de%20Solda%20(CAS-030).pdf" TargetMode="External"/><Relationship Id="rId234" Type="http://schemas.openxmlformats.org/officeDocument/2006/relationships/hyperlink" Target="../../../../../../../../../1.%20Aferi&#231;&#227;o/Trena/Trena%20(TR-544).pdf" TargetMode="External"/><Relationship Id="rId420" Type="http://schemas.openxmlformats.org/officeDocument/2006/relationships/hyperlink" Target="..\Man&#244;metro\LAF-2517524-Man&#244;metro%20Anal&#243;gico%20(MAN-14B).pdf" TargetMode="External"/><Relationship Id="rId2" Type="http://schemas.openxmlformats.org/officeDocument/2006/relationships/hyperlink" Target="../../../../../../../../../1.%20Aferi&#231;&#227;o/Barra%20Padr&#227;o/Barra%20Padr&#227;o%20(BPA-002).pdf" TargetMode="External"/><Relationship Id="rId29" Type="http://schemas.openxmlformats.org/officeDocument/2006/relationships/hyperlink" Target="../../../../../../../../../1.%20Aferi&#231;&#227;o/Detector%20de%20Fuga%20de%20G&#225;s/Detector%20de%20Fuga%20de%20G&#225;s(1985).pdf" TargetMode="External"/><Relationship Id="rId255" Type="http://schemas.openxmlformats.org/officeDocument/2006/relationships/hyperlink" Target="../../../../../../../../../1.%20Aferi&#231;&#227;o/N&#237;vel/N&#237;vel%20Bolha%20(NI-290).pdf" TargetMode="External"/><Relationship Id="rId276" Type="http://schemas.openxmlformats.org/officeDocument/2006/relationships/hyperlink" Target="../../../../../../../../../1.%20Aferi&#231;&#227;o/Holiday%20Detector/Holiday%20Detector%20(1986).pdf" TargetMode="External"/><Relationship Id="rId297" Type="http://schemas.openxmlformats.org/officeDocument/2006/relationships/hyperlink" Target="../../../../../../../../../1.%20Aferi&#231;&#227;o/Esquadro/Esquadro%20de%20Precis&#227;o%20(ESQ-302).pdf" TargetMode="External"/><Relationship Id="rId40" Type="http://schemas.openxmlformats.org/officeDocument/2006/relationships/hyperlink" Target="../../../../../../../../../1.%20Aferi&#231;&#227;o/Man&#244;metro-M&#225;quina%20de%20Jato/Man&#244;metro-M&#225;quina%20de%20Jato%20(175920).pdf" TargetMode="External"/><Relationship Id="rId115" Type="http://schemas.openxmlformats.org/officeDocument/2006/relationships/hyperlink" Target="../../../../../../../../../1.%20Aferi&#231;&#227;o/Trena/Trena%20(TR-418).pdf" TargetMode="External"/><Relationship Id="rId136" Type="http://schemas.openxmlformats.org/officeDocument/2006/relationships/hyperlink" Target="../../../../../../../../../1.%20Aferi&#231;&#227;o/Trena/Trena%20(TR-527).pdf" TargetMode="External"/><Relationship Id="rId157" Type="http://schemas.openxmlformats.org/officeDocument/2006/relationships/hyperlink" Target="../../../../../../../../../1.%20Aferi&#231;&#227;o/Tubo%20Colorido%20-%20Decantador/Tubo%20decantador%20-%20VID-003.pdf" TargetMode="External"/><Relationship Id="rId178" Type="http://schemas.openxmlformats.org/officeDocument/2006/relationships/hyperlink" Target="../../../../../../../../../1.%20Aferi&#231;&#227;o/Man&#244;metro/MAN-05-A_2303335.pdf" TargetMode="External"/><Relationship Id="rId301" Type="http://schemas.openxmlformats.org/officeDocument/2006/relationships/hyperlink" Target="../../../../../../../../../1.%20Aferi&#231;&#227;o/Esquadro/Esquadro%20Combinado%20(1842).pdf" TargetMode="External"/><Relationship Id="rId322" Type="http://schemas.openxmlformats.org/officeDocument/2006/relationships/hyperlink" Target="../../../../../../../../../1.%20Aferi&#231;&#227;o/Esquadro/ESQ-310%20(2421242).pdf" TargetMode="External"/><Relationship Id="rId343" Type="http://schemas.openxmlformats.org/officeDocument/2006/relationships/hyperlink" Target="../../../../../../../../../1.%20Aferi&#231;&#227;o/N&#237;vel/N&#237;vel%20Bolha%20(NI-307).pdf" TargetMode="External"/><Relationship Id="rId364" Type="http://schemas.openxmlformats.org/officeDocument/2006/relationships/hyperlink" Target="../../../../../../../../../1.%20Aferi&#231;&#227;o/Trena/Trena%20(TR-565).pdf" TargetMode="External"/><Relationship Id="rId61" Type="http://schemas.openxmlformats.org/officeDocument/2006/relationships/hyperlink" Target="../../../../../../../../../1.%20Aferi&#231;&#227;o/N&#237;vel/Nivel%20Bolha%20(NI-001).pdf" TargetMode="External"/><Relationship Id="rId82" Type="http://schemas.openxmlformats.org/officeDocument/2006/relationships/hyperlink" Target="../../../../../../../../../1.%20Aferi&#231;&#227;o/Regua/R&#233;gua%20Graduada%20(RG-011).pdf" TargetMode="External"/><Relationship Id="rId199" Type="http://schemas.openxmlformats.org/officeDocument/2006/relationships/hyperlink" Target="../../../../../../../../../1.%20Aferi&#231;&#227;o/Meg&#244;metro/Megometro-958%20(2300536).pdf" TargetMode="External"/><Relationship Id="rId203" Type="http://schemas.openxmlformats.org/officeDocument/2006/relationships/hyperlink" Target="../../../../../../../../../1.%20Aferi&#231;&#227;o/Man&#244;metro/238_2304976.pdf" TargetMode="External"/><Relationship Id="rId385" Type="http://schemas.openxmlformats.org/officeDocument/2006/relationships/hyperlink" Target="../../../../../../../../../1.%20Aferi&#231;&#227;o/Man&#244;metro/Manometro%20Analogico%20(LMP443073-24).pdf" TargetMode="External"/><Relationship Id="rId19" Type="http://schemas.openxmlformats.org/officeDocument/2006/relationships/hyperlink" Target="..\Calibre%20de%20Solda\LAF-2517536-Calibrador%20de%20Solda%20(99-01).pdf" TargetMode="External"/><Relationship Id="rId224" Type="http://schemas.openxmlformats.org/officeDocument/2006/relationships/hyperlink" Target="../../../../../../../../../1.%20Aferi&#231;&#227;o/Termohigrometro/Termohigr&#244;metro%20(TAG-2111).pdf" TargetMode="External"/><Relationship Id="rId245" Type="http://schemas.openxmlformats.org/officeDocument/2006/relationships/hyperlink" Target="../../../../../../../../../1.%20Aferi&#231;&#227;o/Trena/Trena%20(TR-547).pdf" TargetMode="External"/><Relationship Id="rId266" Type="http://schemas.openxmlformats.org/officeDocument/2006/relationships/hyperlink" Target="../../../../../../../../../1.%20Aferi&#231;&#227;o/Alicate%20Amperimetro/Alicate%20Amper&#237;metro%20(0862).pdf" TargetMode="External"/><Relationship Id="rId287" Type="http://schemas.openxmlformats.org/officeDocument/2006/relationships/hyperlink" Target="../../../../../../../../../1.%20Aferi&#231;&#227;o/Rugosimetro/Rugos&#237;metro%20(2049).pdf" TargetMode="External"/><Relationship Id="rId410" Type="http://schemas.openxmlformats.org/officeDocument/2006/relationships/hyperlink" Target="../../../../../../../../../1.%20Aferi&#231;&#227;o/Transmissor%20de%20Press&#227;o/Transmissor%20de%20Press&#227;o%20-%20TI%20-001.pdf" TargetMode="External"/><Relationship Id="rId431" Type="http://schemas.openxmlformats.org/officeDocument/2006/relationships/hyperlink" Target="..\Termometro\Termometro%20BiMetalico%20(TER-003).pdf" TargetMode="External"/><Relationship Id="rId30" Type="http://schemas.openxmlformats.org/officeDocument/2006/relationships/hyperlink" Target="../../../../../../../../../1.%20Aferi&#231;&#227;o/Detector%20de%20Fuga%20de%20G&#225;s/Detector%20de%20Fuga%20de%20G&#225;s%20(2003).pdf" TargetMode="External"/><Relationship Id="rId105" Type="http://schemas.openxmlformats.org/officeDocument/2006/relationships/hyperlink" Target="../../../../../../../../../1.%20Aferi&#231;&#227;o/Termometro/Term&#244;metro%20Digital%20(TER-171).pdf" TargetMode="External"/><Relationship Id="rId126" Type="http://schemas.openxmlformats.org/officeDocument/2006/relationships/hyperlink" Target="../../../../../../../../../1.%20Aferi&#231;&#227;o/Trena/Trena%20(TRE-015).pdf" TargetMode="External"/><Relationship Id="rId147" Type="http://schemas.openxmlformats.org/officeDocument/2006/relationships/hyperlink" Target="../../../../../../../../../1.%20Aferi&#231;&#227;o/Trena/Trena%20(TR-537).pdf" TargetMode="External"/><Relationship Id="rId168" Type="http://schemas.openxmlformats.org/officeDocument/2006/relationships/hyperlink" Target="../../../../../../../../../1.%20Aferi&#231;&#227;o/Yoke/Yoke%20(1832).pdf" TargetMode="External"/><Relationship Id="rId312" Type="http://schemas.openxmlformats.org/officeDocument/2006/relationships/hyperlink" Target="../../../../../../../../../1.%20Aferi&#231;&#227;o/Valvula%20de%20Seguran&#231;a/V&#225;lvula%20de%20Seguran&#231;a%20(VL-07).pdf" TargetMode="External"/><Relationship Id="rId333" Type="http://schemas.openxmlformats.org/officeDocument/2006/relationships/hyperlink" Target="../../../../../../../../../1.%20Aferi&#231;&#227;o/N&#237;vel/N&#237;vel%20Bolha%20(NI-297).pdf" TargetMode="External"/><Relationship Id="rId354" Type="http://schemas.openxmlformats.org/officeDocument/2006/relationships/hyperlink" Target="../../../../../../../../../1.%20Aferi&#231;&#227;o/Trena/Trena%20(TR-555-1).pdf" TargetMode="External"/><Relationship Id="rId51" Type="http://schemas.openxmlformats.org/officeDocument/2006/relationships/hyperlink" Target="../../../../../../../../../1.%20Aferi&#231;&#227;o/Medidor%20de%20Camada%20-%20Espessura/Medidor%20de%20Camadas%20T.Pente%20(1972).pdf" TargetMode="External"/><Relationship Id="rId72" Type="http://schemas.openxmlformats.org/officeDocument/2006/relationships/hyperlink" Target="../../../../../../../../../1.%20Aferi&#231;&#227;o/N&#237;vel/N&#237;vel%20Bolha%20(NB-098-001).pdf" TargetMode="External"/><Relationship Id="rId93" Type="http://schemas.openxmlformats.org/officeDocument/2006/relationships/hyperlink" Target="../../../../../../../../../1.%20Aferi&#231;&#227;o/Termohigrometro/Termohigrometro%20Digital%20(131).pdf" TargetMode="External"/><Relationship Id="rId189" Type="http://schemas.openxmlformats.org/officeDocument/2006/relationships/hyperlink" Target="../../../../../../../../../1.%20Aferi&#231;&#227;o/Man&#244;metro/MAN-11-B_2303502.pdf" TargetMode="External"/><Relationship Id="rId375" Type="http://schemas.openxmlformats.org/officeDocument/2006/relationships/hyperlink" Target="../../../../../../../../../1.%20Aferi&#231;&#227;o/N&#237;vel/N&#237;vel%20&#242;tico%20(D0688001-0124_1953).pdf" TargetMode="External"/><Relationship Id="rId396" Type="http://schemas.openxmlformats.org/officeDocument/2006/relationships/hyperlink" Target="../../../../../../../../../1.%20Aferi&#231;&#227;o/Trena/Trena%20(TR-577).pdf" TargetMode="External"/><Relationship Id="rId3" Type="http://schemas.openxmlformats.org/officeDocument/2006/relationships/hyperlink" Target="../../../../../../../../../1.%20Aferi&#231;&#227;o/Barra%20Padr&#227;o/Barra%20Padr&#227;o%20(BPA-003).pdf" TargetMode="External"/><Relationship Id="rId214" Type="http://schemas.openxmlformats.org/officeDocument/2006/relationships/hyperlink" Target="../../../../../../../../../1.%20Aferi&#231;&#227;o/Clinometro/ESQN-001_2305348.pdf" TargetMode="External"/><Relationship Id="rId235" Type="http://schemas.openxmlformats.org/officeDocument/2006/relationships/hyperlink" Target="../../../../../../../../../1.%20Aferi&#231;&#227;o/Detector%20de%20Fuga%20de%20G&#225;s/15949.23%20-%20(1977).pdf" TargetMode="External"/><Relationship Id="rId256" Type="http://schemas.openxmlformats.org/officeDocument/2006/relationships/hyperlink" Target="../../../../../../../../../1.%20Aferi&#231;&#227;o/N&#237;vel/N&#237;vel%20Bolha%20(NI-291).pdf" TargetMode="External"/><Relationship Id="rId277" Type="http://schemas.openxmlformats.org/officeDocument/2006/relationships/hyperlink" Target="../../../../../../../../../1.%20Aferi&#231;&#227;o/Multimetro/Multimetro%20(1434).pdf" TargetMode="External"/><Relationship Id="rId298" Type="http://schemas.openxmlformats.org/officeDocument/2006/relationships/hyperlink" Target="../../../../../../../../../1.%20Aferi&#231;&#227;o/Esquadro/Esquadro%20de%20Fio%20(ESP-001).pdf" TargetMode="External"/><Relationship Id="rId400" Type="http://schemas.openxmlformats.org/officeDocument/2006/relationships/hyperlink" Target="../../../../../../../../../1.%20Aferi&#231;&#227;o/Trena/Trena%20(TR-581).pdf" TargetMode="External"/><Relationship Id="rId421" Type="http://schemas.openxmlformats.org/officeDocument/2006/relationships/hyperlink" Target="..\Man&#244;metro\LAF-2517525-Man&#244;metro%20Anal&#243;gico%20(MAN-15A).pdf" TargetMode="External"/><Relationship Id="rId116" Type="http://schemas.openxmlformats.org/officeDocument/2006/relationships/hyperlink" Target="../../../../../../../../../1.%20Aferi&#231;&#227;o/Trena/Trena%20(TR-420).pdf" TargetMode="External"/><Relationship Id="rId137" Type="http://schemas.openxmlformats.org/officeDocument/2006/relationships/hyperlink" Target="../../../../../../../../../1.%20Aferi&#231;&#227;o/Trena/Trena%20(TR-528).pdf" TargetMode="External"/><Relationship Id="rId158" Type="http://schemas.openxmlformats.org/officeDocument/2006/relationships/hyperlink" Target="../../../../../../../../../1.%20Aferi&#231;&#227;o/Tubo%20Colorido%20-%20Decantador/Tubo%20decantador%20-%20VID-004.pdf" TargetMode="External"/><Relationship Id="rId302" Type="http://schemas.openxmlformats.org/officeDocument/2006/relationships/hyperlink" Target="../../../../../../../../../1.%20Aferi&#231;&#227;o/Esquadro/Esquadro%20Combinado%20(1840).pdf" TargetMode="External"/><Relationship Id="rId323" Type="http://schemas.openxmlformats.org/officeDocument/2006/relationships/hyperlink" Target="../../../../../../../../../1.%20Aferi&#231;&#227;o/Esquadro/ESQ-311%20(2421243).pdf" TargetMode="External"/><Relationship Id="rId344" Type="http://schemas.openxmlformats.org/officeDocument/2006/relationships/hyperlink" Target="../../../../../../../../../1.%20Aferi&#231;&#227;o/N&#237;vel/N&#237;vel%20Bolha%20(NI-308).pdf" TargetMode="External"/><Relationship Id="rId20" Type="http://schemas.openxmlformats.org/officeDocument/2006/relationships/hyperlink" Target="../../../../../../../../../1.%20Aferi&#231;&#227;o/Calibre%20de%20Solda/Calibre%20de%20Solda%20Hi-Lo%20(TAG-40).pdf" TargetMode="External"/><Relationship Id="rId41" Type="http://schemas.openxmlformats.org/officeDocument/2006/relationships/hyperlink" Target="../../../../../../../../../1.%20Aferi&#231;&#227;o/Man&#244;metro-M&#225;quina%20de%20Jato/Man&#244;metro-M&#225;quina%20de%20Jato%20(176291).pdf" TargetMode="External"/><Relationship Id="rId62" Type="http://schemas.openxmlformats.org/officeDocument/2006/relationships/hyperlink" Target="../../../../../../../../../1.%20Aferi&#231;&#227;o/N&#237;vel/N&#237;vel%20Bolha%20(NI-032).pdf" TargetMode="External"/><Relationship Id="rId83" Type="http://schemas.openxmlformats.org/officeDocument/2006/relationships/hyperlink" Target="../../../../../../../../../1.%20Aferi&#231;&#227;o/Regua/R&#233;gua%20Graduada%20(RG-012).pdf" TargetMode="External"/><Relationship Id="rId179" Type="http://schemas.openxmlformats.org/officeDocument/2006/relationships/hyperlink" Target="../../../../../../../../../1.%20Aferi&#231;&#227;o/Man&#244;metro/MAN-05-B_2303336.pdf" TargetMode="External"/><Relationship Id="rId365" Type="http://schemas.openxmlformats.org/officeDocument/2006/relationships/hyperlink" Target="../../../../../../../../../1.%20Aferi&#231;&#227;o/Trena/Trena%20(TR-566).pdf" TargetMode="External"/><Relationship Id="rId386" Type="http://schemas.openxmlformats.org/officeDocument/2006/relationships/hyperlink" Target="../../../../../../../../../1.%20Aferi&#231;&#227;o/Torquimetro/Torquimetro%20(2183).pdf" TargetMode="External"/><Relationship Id="rId190" Type="http://schemas.openxmlformats.org/officeDocument/2006/relationships/hyperlink" Target="../../../../../../../../../1.%20Aferi&#231;&#227;o/Valvula%20de%20Seguran&#231;a/VL-01_2303337.pdf" TargetMode="External"/><Relationship Id="rId204" Type="http://schemas.openxmlformats.org/officeDocument/2006/relationships/hyperlink" Target="../../../../../../../../../1.%20Aferi&#231;&#227;o/Man&#244;metro/243_2304978.pdf" TargetMode="External"/><Relationship Id="rId225" Type="http://schemas.openxmlformats.org/officeDocument/2006/relationships/hyperlink" Target="../../../../../../../../../1.%20Aferi&#231;&#227;o/Termohigrometro/Termohigr&#244;metro%20(TAG-2112).pdf" TargetMode="External"/><Relationship Id="rId246" Type="http://schemas.openxmlformats.org/officeDocument/2006/relationships/hyperlink" Target="../../../../../../../../../1.%20Aferi&#231;&#227;o/Trena/Trena%20(TR-548).pdf" TargetMode="External"/><Relationship Id="rId267" Type="http://schemas.openxmlformats.org/officeDocument/2006/relationships/hyperlink" Target="../../../../../../../../../1.%20Aferi&#231;&#227;o/Alicate%20Amperimetro/Alicate%20Amper&#237;metro%20(1421).pdf" TargetMode="External"/><Relationship Id="rId288" Type="http://schemas.openxmlformats.org/officeDocument/2006/relationships/hyperlink" Target="../../../../../../../../../1.%20Aferi&#231;&#227;o/Rugosimetro/Rugos&#237;metro%20(068).pdf" TargetMode="External"/><Relationship Id="rId411" Type="http://schemas.openxmlformats.org/officeDocument/2006/relationships/hyperlink" Target="../../../../../../../../../1.%20Aferi&#231;&#227;o/Transmissor%20de%20Press&#227;o/Transmissor%20de%20Press&#227;o%20-%20TI%20-002.pdf" TargetMode="External"/><Relationship Id="rId432" Type="http://schemas.openxmlformats.org/officeDocument/2006/relationships/printerSettings" Target="../printerSettings/printerSettings1.bin"/><Relationship Id="rId106" Type="http://schemas.openxmlformats.org/officeDocument/2006/relationships/hyperlink" Target="../../../../../../../../../1.%20Aferi&#231;&#227;o/Termometro/Termometro%20Infravermelho%20(TAG-192).pdf" TargetMode="External"/><Relationship Id="rId127" Type="http://schemas.openxmlformats.org/officeDocument/2006/relationships/hyperlink" Target="../../../../../../../../../1.%20Aferi&#231;&#227;o/Trena/Trena%20(TRE-016).pdf" TargetMode="External"/><Relationship Id="rId313" Type="http://schemas.openxmlformats.org/officeDocument/2006/relationships/hyperlink" Target="../../../../../../../../../1.%20Aferi&#231;&#227;o/Valvula%20de%20Seguran&#231;a/V&#225;lvula%20de%20Seguran&#231;a%20(VL-08).pdf" TargetMode="External"/><Relationship Id="rId10" Type="http://schemas.openxmlformats.org/officeDocument/2006/relationships/hyperlink" Target="../../../../../../../../../1.%20Aferi&#231;&#227;o/Bloco/Bloco%20Escalonado%20US%20-%20BLE-TUC-005(alugado).pdf" TargetMode="External"/><Relationship Id="rId31" Type="http://schemas.openxmlformats.org/officeDocument/2006/relationships/hyperlink" Target="../../../../../../../../../1.%20Aferi&#231;&#227;o/Detector%20de%20Fuga%20de%20G&#225;s/Detector%20de%20Fuga%20de%20G&#225;s%20(1749771).pdf" TargetMode="External"/><Relationship Id="rId52" Type="http://schemas.openxmlformats.org/officeDocument/2006/relationships/hyperlink" Target="../../../../../../../../../1.%20Aferi&#231;&#227;o/Medidor%20de%20Camada%20-%20Espessura/Medidor%20de%20Espessura%20Ultrass&#244;nico%20(138).pdf" TargetMode="External"/><Relationship Id="rId73" Type="http://schemas.openxmlformats.org/officeDocument/2006/relationships/hyperlink" Target="../../../../../../../../../1.%20Aferi&#231;&#227;o/N&#237;vel/N&#237;vel%20Bolha%20(NB-098-002).pdf" TargetMode="External"/><Relationship Id="rId94" Type="http://schemas.openxmlformats.org/officeDocument/2006/relationships/hyperlink" Target="../../../../../../../../../1.%20Aferi&#231;&#227;o/Termohigrometro/Termohigrometro%20Digital%20(132).pdf" TargetMode="External"/><Relationship Id="rId148" Type="http://schemas.openxmlformats.org/officeDocument/2006/relationships/hyperlink" Target="../../../../../../../../../1.%20Aferi&#231;&#227;o/Trena/Trena%20(TRE-098-001).pdf" TargetMode="External"/><Relationship Id="rId169" Type="http://schemas.openxmlformats.org/officeDocument/2006/relationships/hyperlink" Target="../../../../../../../../../1.%20Aferi&#231;&#227;o/Termometro/Termometro%20Infravermelho%20(TAG-22).pdf" TargetMode="External"/><Relationship Id="rId334" Type="http://schemas.openxmlformats.org/officeDocument/2006/relationships/hyperlink" Target="../../../../../../../../../1.%20Aferi&#231;&#227;o/N&#237;vel/N&#237;vel%20Bolha%20(NI-298).pdf" TargetMode="External"/><Relationship Id="rId355" Type="http://schemas.openxmlformats.org/officeDocument/2006/relationships/hyperlink" Target="../../../../../../../../../1.%20Aferi&#231;&#227;o/Trena/Trena%20(TR-556).pdf" TargetMode="External"/><Relationship Id="rId376" Type="http://schemas.openxmlformats.org/officeDocument/2006/relationships/hyperlink" Target="../../../../../../../../../1.%20Aferi&#231;&#227;o/Man&#244;metro-M&#225;quina%20de%20Jato/Manometros%20197820.pdf" TargetMode="External"/><Relationship Id="rId397" Type="http://schemas.openxmlformats.org/officeDocument/2006/relationships/hyperlink" Target="../../../../../../../../../1.%20Aferi&#231;&#227;o/Trena/Trena%20(TR-578).pdf" TargetMode="External"/><Relationship Id="rId4" Type="http://schemas.openxmlformats.org/officeDocument/2006/relationships/hyperlink" Target="../../../../../../../../../1.%20Aferi&#231;&#227;o/Barra%20Padr&#227;o/Barra%20Padr&#227;o%20(BPA-004).pdf" TargetMode="External"/><Relationship Id="rId180" Type="http://schemas.openxmlformats.org/officeDocument/2006/relationships/hyperlink" Target="../../../../../../../../../1.%20Aferi&#231;&#227;o/Man&#244;metro/MAN-06_2303493.pdf" TargetMode="External"/><Relationship Id="rId215" Type="http://schemas.openxmlformats.org/officeDocument/2006/relationships/hyperlink" Target="../../../../../../../../../1.%20Aferi&#231;&#227;o/Esquadro/MDA-001_2305351.pdf" TargetMode="External"/><Relationship Id="rId236" Type="http://schemas.openxmlformats.org/officeDocument/2006/relationships/hyperlink" Target="../../../../../../../../../1.%20Aferi&#231;&#227;o/Detector%20de%20Fuga%20de%20G&#225;s/Detector%20de%20Fuga%20de%20G&#225;s%20(1749774).pdf" TargetMode="External"/><Relationship Id="rId257" Type="http://schemas.openxmlformats.org/officeDocument/2006/relationships/hyperlink" Target="../../../../../../../../../1.%20Aferi&#231;&#227;o/N&#237;vel/N&#237;vel%20Bolha%20(NI-292).pdf" TargetMode="External"/><Relationship Id="rId278" Type="http://schemas.openxmlformats.org/officeDocument/2006/relationships/hyperlink" Target="../../../../../../../../../1.%20Aferi&#231;&#227;o/Yoke/Yoke%20(180).pdf" TargetMode="External"/><Relationship Id="rId401" Type="http://schemas.openxmlformats.org/officeDocument/2006/relationships/hyperlink" Target="../../../../../../../../../1.%20Aferi&#231;&#227;o/Trena/Trena%20(TR-582).pdf" TargetMode="External"/><Relationship Id="rId422" Type="http://schemas.openxmlformats.org/officeDocument/2006/relationships/hyperlink" Target="..\Man&#244;metro\LAF-2517526-Manometro%20Analogico%20(%20MAN-15B).pdf" TargetMode="External"/><Relationship Id="rId303" Type="http://schemas.openxmlformats.org/officeDocument/2006/relationships/hyperlink" Target="../../../../../../../../../1.%20Aferi&#231;&#227;o/Goniometro/Goni&#244;metro%20(0629).pdf" TargetMode="External"/><Relationship Id="rId42" Type="http://schemas.openxmlformats.org/officeDocument/2006/relationships/hyperlink" Target="../../../../../../../../../1.%20Aferi&#231;&#227;o/Man&#244;metro-M&#225;quina%20de%20Jato/Man&#244;metro-M&#225;quina%20de%20Jato%20(176294).pdf" TargetMode="External"/><Relationship Id="rId84" Type="http://schemas.openxmlformats.org/officeDocument/2006/relationships/hyperlink" Target="../../../../../../../../../1.%20Aferi&#231;&#227;o/Regulador%20de%20Press&#227;o%20-%20Lan&#231;a%20chamas/Regulador%20de%20Press&#227;o%20-%20Lan&#231;a%20Chamas_RP-001.pdf" TargetMode="External"/><Relationship Id="rId138" Type="http://schemas.openxmlformats.org/officeDocument/2006/relationships/hyperlink" Target="../../../../../../../../../1.%20Aferi&#231;&#227;o/Trena/Trena%20(TR-529).pdf" TargetMode="External"/><Relationship Id="rId345" Type="http://schemas.openxmlformats.org/officeDocument/2006/relationships/hyperlink" Target="../../../../../../../../../1.%20Aferi&#231;&#227;o/Esquadro/ESQ-310-1%20(2423157).pdf" TargetMode="External"/><Relationship Id="rId387" Type="http://schemas.openxmlformats.org/officeDocument/2006/relationships/hyperlink" Target="../../../../../../../../../1.%20Aferi&#231;&#227;o/Torquimetro/Torquimetro%20(2184).pdf" TargetMode="External"/><Relationship Id="rId191" Type="http://schemas.openxmlformats.org/officeDocument/2006/relationships/hyperlink" Target="../../../../../../../../../1.%20Aferi&#231;&#227;o/Meg&#244;metro/Meg&#244;metro%20(1564).pdf" TargetMode="External"/><Relationship Id="rId205" Type="http://schemas.openxmlformats.org/officeDocument/2006/relationships/hyperlink" Target="../../../../../../../../../1.%20Aferi&#231;&#227;o/Man&#244;metro/1997_2304979.pdf" TargetMode="External"/><Relationship Id="rId247" Type="http://schemas.openxmlformats.org/officeDocument/2006/relationships/hyperlink" Target="../../../../../../../../../1.%20Aferi&#231;&#227;o/Trena/Trena%20(TR-549).pdf" TargetMode="External"/><Relationship Id="rId412" Type="http://schemas.openxmlformats.org/officeDocument/2006/relationships/hyperlink" Target="../../../../../../../../../1.%20Aferi&#231;&#227;o/Transdutor%20de%20Press&#227;o/Transdutor%20de%20Press&#227;o%20-%20PT-001.pdf" TargetMode="External"/><Relationship Id="rId107" Type="http://schemas.openxmlformats.org/officeDocument/2006/relationships/hyperlink" Target="../../../../../../../../../1.%20Aferi&#231;&#227;o/Termometro/Termometro%20Infravermelho%20(TAG-193).pdf" TargetMode="External"/><Relationship Id="rId289" Type="http://schemas.openxmlformats.org/officeDocument/2006/relationships/hyperlink" Target="../../../../../../../../../1.%20Aferi&#231;&#227;o/Rugosimetro/Rugos&#237;metro%20(2019).pdf" TargetMode="External"/><Relationship Id="rId11" Type="http://schemas.openxmlformats.org/officeDocument/2006/relationships/hyperlink" Target="../../../../../../../../../1.%20Aferi&#231;&#227;o/Bloco/Obsoleto/Bloco%20Jiz%20-%20839.pdf" TargetMode="External"/><Relationship Id="rId53" Type="http://schemas.openxmlformats.org/officeDocument/2006/relationships/hyperlink" Target="../../../../../../../../../1.%20Aferi&#231;&#227;o/Meg&#244;metro/MEG&#212;METRO%20(MEGABRAS%20MD-1035e%20%20S.MU31).pdf" TargetMode="External"/><Relationship Id="rId149" Type="http://schemas.openxmlformats.org/officeDocument/2006/relationships/hyperlink" Target="../../../../../../../../../1.%20Aferi&#231;&#227;o/Trena/Trena%20(TRE-098-002).pdf" TargetMode="External"/><Relationship Id="rId314" Type="http://schemas.openxmlformats.org/officeDocument/2006/relationships/hyperlink" Target="../../../../../../../../../1.%20Aferi&#231;&#227;o/Bloco/Bloco%20escalonado%20(1934).pdf" TargetMode="External"/><Relationship Id="rId356" Type="http://schemas.openxmlformats.org/officeDocument/2006/relationships/hyperlink" Target="../../../../../../../../../1.%20Aferi&#231;&#227;o/Trena/Trena%20(TR-557).pdf" TargetMode="External"/><Relationship Id="rId398" Type="http://schemas.openxmlformats.org/officeDocument/2006/relationships/hyperlink" Target="../../../../../../../../../1.%20Aferi&#231;&#227;o/Trena/Trena%20(TR-579).pdf" TargetMode="External"/><Relationship Id="rId95" Type="http://schemas.openxmlformats.org/officeDocument/2006/relationships/hyperlink" Target="../../../../../../../../../1.%20Aferi&#231;&#227;o/Termohigrometro/Termohigr&#244;metro%20(TAG-1814).pdf" TargetMode="External"/><Relationship Id="rId160" Type="http://schemas.openxmlformats.org/officeDocument/2006/relationships/hyperlink" Target="../../../../../../../../../1.%20Aferi&#231;&#227;o/Yoke/Yoke%20(181).pdf" TargetMode="External"/><Relationship Id="rId216" Type="http://schemas.openxmlformats.org/officeDocument/2006/relationships/hyperlink" Target="../../../../../../../../../1.%20Aferi&#231;&#227;o/Paquimetro/Paquimetro%20Quadrimensional%20(PAQ-009).pdf" TargetMode="External"/><Relationship Id="rId423" Type="http://schemas.openxmlformats.org/officeDocument/2006/relationships/hyperlink" Target="..\Man&#244;metro\LAF-2517527-Man&#244;metro%20Anal&#243;gico%20(MAN-16A).pdf" TargetMode="External"/><Relationship Id="rId258" Type="http://schemas.openxmlformats.org/officeDocument/2006/relationships/hyperlink" Target="../../../../../../../../../1.%20Aferi&#231;&#227;o/N&#237;vel/N&#237;vel%20Bolha%20(NI-293).pdf" TargetMode="External"/><Relationship Id="rId22" Type="http://schemas.openxmlformats.org/officeDocument/2006/relationships/hyperlink" Target="../../../../../../../../../1.%20Aferi&#231;&#227;o/Calibre%20de%20Solda/Calibre%20de%20Solda%20(CAS-044).pdf" TargetMode="External"/><Relationship Id="rId64" Type="http://schemas.openxmlformats.org/officeDocument/2006/relationships/hyperlink" Target="../../../../../../../../../1.%20Aferi&#231;&#227;o/N&#237;vel/N&#237;vel%20Bolha%20(NI-063).pdf" TargetMode="External"/><Relationship Id="rId118" Type="http://schemas.openxmlformats.org/officeDocument/2006/relationships/hyperlink" Target="../../../../../../../../../1.%20Aferi&#231;&#227;o/Trena/Trena%20(TR-422).pdf" TargetMode="External"/><Relationship Id="rId325" Type="http://schemas.openxmlformats.org/officeDocument/2006/relationships/hyperlink" Target="../../../../../../../../../1.%20Aferi&#231;&#227;o/Esquadro/ESQ-313%20(2421245).pdf" TargetMode="External"/><Relationship Id="rId367" Type="http://schemas.openxmlformats.org/officeDocument/2006/relationships/hyperlink" Target="../../../../../../../../../1.%20Aferi&#231;&#227;o/Trena/Trena%20(TR-568).pdf" TargetMode="External"/><Relationship Id="rId171" Type="http://schemas.openxmlformats.org/officeDocument/2006/relationships/hyperlink" Target="../../../../../../../../../1.%20Aferi&#231;&#227;o/Pastilha%20sensora/Pastilha%20Sensora%20(1081).pdf" TargetMode="External"/><Relationship Id="rId227" Type="http://schemas.openxmlformats.org/officeDocument/2006/relationships/hyperlink" Target="../../../../../../../../../1.%20Aferi&#231;&#227;o/N&#237;vel/N&#237;vel%20Bolha%20(NI-284).pdf" TargetMode="External"/><Relationship Id="rId269" Type="http://schemas.openxmlformats.org/officeDocument/2006/relationships/hyperlink" Target="../../../../../../../../../1.%20Aferi&#231;&#227;o/Calibre%20de%20Solda/Calibrador%20de%20Solda%20(CAS-016).pdf" TargetMode="External"/><Relationship Id="rId33" Type="http://schemas.openxmlformats.org/officeDocument/2006/relationships/hyperlink" Target="../../../../../../../../../1.%20Aferi&#231;&#227;o/Esquadro/ESQ-303%20(2311802).pdf" TargetMode="External"/><Relationship Id="rId129" Type="http://schemas.openxmlformats.org/officeDocument/2006/relationships/hyperlink" Target="../../../../../../../../../1.%20Aferi&#231;&#227;o/Trena/Trena%20(TR-412).pdf" TargetMode="External"/><Relationship Id="rId280" Type="http://schemas.openxmlformats.org/officeDocument/2006/relationships/hyperlink" Target="../../../../../../../../../1.%20Aferi&#231;&#227;o/Yoke/Yoke%20(1296).pdf" TargetMode="External"/><Relationship Id="rId336" Type="http://schemas.openxmlformats.org/officeDocument/2006/relationships/hyperlink" Target="../../../../../../../../../1.%20Aferi&#231;&#227;o/N&#237;vel/N&#237;vel%20Bolha%20(NI-300).pdf" TargetMode="External"/><Relationship Id="rId75" Type="http://schemas.openxmlformats.org/officeDocument/2006/relationships/hyperlink" Target="../../../../../../../../../1.%20Aferi&#231;&#227;o/N&#237;vel/N&#237;vel%20Bolha%20(NB-098-004).pdf" TargetMode="External"/><Relationship Id="rId140" Type="http://schemas.openxmlformats.org/officeDocument/2006/relationships/hyperlink" Target="../../../../../../../../../1.%20Aferi&#231;&#227;o/Trena/Trena%20(TR-531).pdf" TargetMode="External"/><Relationship Id="rId182" Type="http://schemas.openxmlformats.org/officeDocument/2006/relationships/hyperlink" Target="../../../../../../../../../1.%20Aferi&#231;&#227;o/Man&#244;metro/MAN-08-A_2303495.pdf" TargetMode="External"/><Relationship Id="rId378" Type="http://schemas.openxmlformats.org/officeDocument/2006/relationships/hyperlink" Target="../../../../../../../../../1.%20Aferi&#231;&#227;o/Terrometro/Terr&#244;metro(1339)%20-2425228.pdf" TargetMode="External"/><Relationship Id="rId403" Type="http://schemas.openxmlformats.org/officeDocument/2006/relationships/hyperlink" Target="../../../../../../../../../1.%20Aferi&#231;&#227;o/Trena/Trena%20(TR-584).pdf" TargetMode="External"/><Relationship Id="rId6" Type="http://schemas.openxmlformats.org/officeDocument/2006/relationships/hyperlink" Target="../../../../../../../../../1.%20Aferi&#231;&#227;o/Barra%20Padr&#227;o/Barra%20Padr&#227;o%20(BPA-006).pdf" TargetMode="External"/><Relationship Id="rId238" Type="http://schemas.openxmlformats.org/officeDocument/2006/relationships/hyperlink" Target="../../../../../../../../../1.%20Aferi&#231;&#227;o/Detector%20de%20Fuga%20de%20G&#225;s/15947.23%20-%20(2041).pdf" TargetMode="External"/><Relationship Id="rId291" Type="http://schemas.openxmlformats.org/officeDocument/2006/relationships/hyperlink" Target="../../../../../../../../../1.%20Aferi&#231;&#227;o/Termometro/Term&#244;metro%20Infravermelho%20(TAG-194).pdf" TargetMode="External"/><Relationship Id="rId305" Type="http://schemas.openxmlformats.org/officeDocument/2006/relationships/hyperlink" Target="../../../../../../../../../1.%20Aferi&#231;&#227;o/Valvula%20de%20Seguran&#231;a/V&#225;lvula%20de%20Seguran&#231;a%20(VL-02).pdf" TargetMode="External"/><Relationship Id="rId347" Type="http://schemas.openxmlformats.org/officeDocument/2006/relationships/hyperlink" Target="../../../../../../../../../1.%20Aferi&#231;&#227;o/Trena/Trena%20(TR-551).pdf" TargetMode="External"/><Relationship Id="rId44" Type="http://schemas.openxmlformats.org/officeDocument/2006/relationships/hyperlink" Target="../../../../../../../../../1.%20Aferi&#231;&#227;o/Man&#244;metro-M&#225;quina%20de%20Jato/Man&#244;metro-M&#225;quina%20de%20Jato%20(177713).pdf" TargetMode="External"/><Relationship Id="rId86" Type="http://schemas.openxmlformats.org/officeDocument/2006/relationships/hyperlink" Target="../../../../../../../../../1.%20Aferi&#231;&#227;o/Relogio%20Comparador/Rel&#243;gio%20Comparador%20Digital%20(188).pdf" TargetMode="External"/><Relationship Id="rId151" Type="http://schemas.openxmlformats.org/officeDocument/2006/relationships/hyperlink" Target="../../../../../../../../../1.%20Aferi&#231;&#227;o/Trena/Trena%20(TRE-098-003).pdf" TargetMode="External"/><Relationship Id="rId389" Type="http://schemas.openxmlformats.org/officeDocument/2006/relationships/hyperlink" Target="../../../../../../../../../1.%20Aferi&#231;&#227;o/Termometro/Termometro%20Infravermelho%20(2105).pdf" TargetMode="External"/><Relationship Id="rId193" Type="http://schemas.openxmlformats.org/officeDocument/2006/relationships/hyperlink" Target="../../../../../../../../../1.%20Aferi&#231;&#227;o/Meg&#244;metro/Meg&#244;metro%20(1820).pdf" TargetMode="External"/><Relationship Id="rId207" Type="http://schemas.openxmlformats.org/officeDocument/2006/relationships/hyperlink" Target="../../../../../../../../../1.%20Aferi&#231;&#227;o/Termometro/Term&#244;metro%20Infravermelho%20(TAG-143).pdf" TargetMode="External"/><Relationship Id="rId249" Type="http://schemas.openxmlformats.org/officeDocument/2006/relationships/hyperlink" Target="../../../../../../../../../1.%20Aferi&#231;&#227;o/Esquadro/ESQ-304%20(2311803).pdf" TargetMode="External"/><Relationship Id="rId414" Type="http://schemas.openxmlformats.org/officeDocument/2006/relationships/hyperlink" Target="../../../../../../../../../1.%20Aferi&#231;&#227;o/Alicate%20Amperimetro/Alicate%20Amper&#237;metro%20(1914).pdf" TargetMode="External"/><Relationship Id="rId13" Type="http://schemas.openxmlformats.org/officeDocument/2006/relationships/hyperlink" Target="../../../../../../../../../1.%20Aferi&#231;&#227;o/Filme/Filme%20Padr&#227;o-%201370.pdf" TargetMode="External"/><Relationship Id="rId109" Type="http://schemas.openxmlformats.org/officeDocument/2006/relationships/hyperlink" Target="../../../../../../../../../1.%20Aferi&#231;&#227;o/Torquimetro/Torquimetro%20(0815).pdf" TargetMode="External"/><Relationship Id="rId260" Type="http://schemas.openxmlformats.org/officeDocument/2006/relationships/hyperlink" Target="../../../../../../../../../1.%20Aferi&#231;&#227;o/Torquimetro/Torquimetro%20(TAG-1778).pdf" TargetMode="External"/><Relationship Id="rId316" Type="http://schemas.openxmlformats.org/officeDocument/2006/relationships/hyperlink" Target="../../../../../../../../../1.%20Aferi&#231;&#227;o/Medidor%20de%20Camada%20-%20Espessura/Medidor%20de%20Espessura%20Ultrass&#244;nico%20(2055).pdf" TargetMode="External"/><Relationship Id="rId55" Type="http://schemas.openxmlformats.org/officeDocument/2006/relationships/hyperlink" Target="../../../../../../../../../1.%20Aferi&#231;&#227;o/Micrometro/Micrometro%20Externo%20(320).pdf" TargetMode="External"/><Relationship Id="rId97" Type="http://schemas.openxmlformats.org/officeDocument/2006/relationships/hyperlink" Target="../../../../../../../../../1.%20Aferi&#231;&#227;o/Termometro/Termometro%20Infravermelho%20(TAG-21).pdf" TargetMode="External"/><Relationship Id="rId120" Type="http://schemas.openxmlformats.org/officeDocument/2006/relationships/hyperlink" Target="../../../../../../../../../1.%20Aferi&#231;&#227;o/Trena/Trena%20(TR-424).pdf" TargetMode="External"/><Relationship Id="rId358" Type="http://schemas.openxmlformats.org/officeDocument/2006/relationships/hyperlink" Target="../../../../../../../../../1.%20Aferi&#231;&#227;o/Trena/Trena%20(TR-559).pdf" TargetMode="External"/><Relationship Id="rId162" Type="http://schemas.openxmlformats.org/officeDocument/2006/relationships/hyperlink" Target="..\Yoke\YOKE%20183.pdf" TargetMode="External"/><Relationship Id="rId218" Type="http://schemas.openxmlformats.org/officeDocument/2006/relationships/hyperlink" Target="../../../../../../../../../1.%20Aferi&#231;&#227;o/Trena/Trena%20(TR-538).pdf" TargetMode="External"/><Relationship Id="rId425" Type="http://schemas.openxmlformats.org/officeDocument/2006/relationships/hyperlink" Target="..\Man&#244;metro\LAF-2517529-Man&#244;metro%20Anal&#243;gico%20(MAN-17A).pdf" TargetMode="External"/><Relationship Id="rId271" Type="http://schemas.openxmlformats.org/officeDocument/2006/relationships/hyperlink" Target="../../../../../../../../../1.%20Aferi&#231;&#227;o/Calibre%20de%20Solda/Calibrador%20de%20Solda%20Hi%20Lo%20(CAS-026).pdf" TargetMode="External"/><Relationship Id="rId24" Type="http://schemas.openxmlformats.org/officeDocument/2006/relationships/hyperlink" Target="../../../../../../../../../1.%20Aferi&#231;&#227;o/Calibre%20de%20Solda/Calibre%20de%20Solda%20(CAS-025).pdf" TargetMode="External"/><Relationship Id="rId66" Type="http://schemas.openxmlformats.org/officeDocument/2006/relationships/hyperlink" Target="../../../../../../../../../1.%20Aferi&#231;&#227;o/N&#237;vel/N&#237;vel%20Bolha%20(NI-065).pdf" TargetMode="External"/><Relationship Id="rId131" Type="http://schemas.openxmlformats.org/officeDocument/2006/relationships/hyperlink" Target="../../../../../../../../../1.%20Aferi&#231;&#227;o/Trena/Trena%20(TR-%20415-1).pdf" TargetMode="External"/><Relationship Id="rId327" Type="http://schemas.openxmlformats.org/officeDocument/2006/relationships/hyperlink" Target="../../../../../../../../../1.%20Aferi&#231;&#227;o/Esquadro/ESQ-315%20(2421247).pdf" TargetMode="External"/><Relationship Id="rId369" Type="http://schemas.openxmlformats.org/officeDocument/2006/relationships/hyperlink" Target="../../../../../../../../../1.%20Aferi&#231;&#227;o/Trena/Trena%20(TR-570).pdf" TargetMode="External"/><Relationship Id="rId173" Type="http://schemas.openxmlformats.org/officeDocument/2006/relationships/hyperlink" Target="../../../../../../../../../1.%20Aferi&#231;&#227;o/Clinometro/Clin&#244;metro%20(Medidor%20de%20Inclina&#231;&#227;o%20Digital)-%201864.pdf" TargetMode="External"/><Relationship Id="rId229" Type="http://schemas.openxmlformats.org/officeDocument/2006/relationships/hyperlink" Target="../../../../../../../../../1.%20Aferi&#231;&#227;o/N&#237;vel/N&#237;vel%20Bolha%20(NI-286).pdf" TargetMode="External"/><Relationship Id="rId380" Type="http://schemas.openxmlformats.org/officeDocument/2006/relationships/hyperlink" Target="../../../../../../../../../1.%20Aferi&#231;&#227;o/Certificados%20TH/TE-TT-01AF%20(0507-24).pdf" TargetMode="External"/><Relationship Id="rId240" Type="http://schemas.openxmlformats.org/officeDocument/2006/relationships/hyperlink" Target="../../../../../../../../../1.%20Aferi&#231;&#227;o/Medidor%20de%20Camada%20-%20Espessura/1370_2306279.pdf" TargetMode="External"/><Relationship Id="rId35" Type="http://schemas.openxmlformats.org/officeDocument/2006/relationships/hyperlink" Target="../../../../../../../../../1.%20Aferi&#231;&#227;o/Fluxometro%20(Bibimetro)/Bibimetro%20(MDV-001).pdf" TargetMode="External"/><Relationship Id="rId77" Type="http://schemas.openxmlformats.org/officeDocument/2006/relationships/hyperlink" Target="../../../../../../../../../1.%20Aferi&#231;&#227;o/Paquimetro/Paquimetro%20Universal%20Digital%20(PS-037).pdf" TargetMode="External"/><Relationship Id="rId100" Type="http://schemas.openxmlformats.org/officeDocument/2006/relationships/hyperlink" Target="../../../../../../../../../1.%20Aferi&#231;&#227;o/Termometro/Termometro%20Infravermelho%20(TAG-28).pdf" TargetMode="External"/><Relationship Id="rId282" Type="http://schemas.openxmlformats.org/officeDocument/2006/relationships/hyperlink" Target="../../../../../../../../../1.%20Aferi&#231;&#227;o/Termohigrometro/Termohigrometro%20(036).pdf" TargetMode="External"/><Relationship Id="rId338" Type="http://schemas.openxmlformats.org/officeDocument/2006/relationships/hyperlink" Target="../../../../../../../../../1.%20Aferi&#231;&#227;o/N&#237;vel/N&#237;vel%20Bolha%20(NI-302).pdf" TargetMode="External"/><Relationship Id="rId8" Type="http://schemas.openxmlformats.org/officeDocument/2006/relationships/hyperlink" Target="../../../../../../../../../1.%20Aferi&#231;&#227;o/Bloco/Bloco%20Escalonado%20(BL02).pdf" TargetMode="External"/><Relationship Id="rId142" Type="http://schemas.openxmlformats.org/officeDocument/2006/relationships/hyperlink" Target="../../../../../../../../../1.%20Aferi&#231;&#227;o/Trena/Trena%20(TR-533).pdf" TargetMode="External"/><Relationship Id="rId184" Type="http://schemas.openxmlformats.org/officeDocument/2006/relationships/hyperlink" Target="../../../../../../../../../1.%20Aferi&#231;&#227;o/Man&#244;metro/MAN-09-A_2303497.pdf" TargetMode="External"/><Relationship Id="rId391" Type="http://schemas.openxmlformats.org/officeDocument/2006/relationships/hyperlink" Target="../../../../../../../../../1.%20Aferi&#231;&#227;o/Fluxometro%20(Bibimetro)/FLUXOMETRO%20(FLX-002).pdf" TargetMode="External"/><Relationship Id="rId405" Type="http://schemas.openxmlformats.org/officeDocument/2006/relationships/hyperlink" Target="../../../../../../../../../1.%20Aferi&#231;&#227;o/Man&#244;metro/T%20119009-25.pdf" TargetMode="External"/><Relationship Id="rId251" Type="http://schemas.openxmlformats.org/officeDocument/2006/relationships/hyperlink" Target="../../../../../../../../../1.%20Aferi&#231;&#227;o/Esquadro/ESQ-306%20(2311805).pdf" TargetMode="External"/><Relationship Id="rId46" Type="http://schemas.openxmlformats.org/officeDocument/2006/relationships/hyperlink" Target="../../../../../../../../../1.%20Aferi&#231;&#227;o/Haste%20padr&#227;o/Haste%20Padr&#227;o%20(319-2).pdf" TargetMode="External"/><Relationship Id="rId293" Type="http://schemas.openxmlformats.org/officeDocument/2006/relationships/hyperlink" Target="../../../../../../../../../1.%20Aferi&#231;&#227;o/Trena/Trena%20a%20Laser%20(1765).pdf" TargetMode="External"/><Relationship Id="rId307" Type="http://schemas.openxmlformats.org/officeDocument/2006/relationships/hyperlink" Target="../../../../../../../../../1.%20Aferi&#231;&#227;o/Valvula%20de%20Seguran&#231;a/V&#225;lvula%20de%20Seguran&#231;a%20(VL-04).pdf" TargetMode="External"/><Relationship Id="rId349" Type="http://schemas.openxmlformats.org/officeDocument/2006/relationships/hyperlink" Target="../../../../../../../../../1.%20Aferi&#231;&#227;o/Trena/Trena%20(TR-553).pdf" TargetMode="External"/><Relationship Id="rId88" Type="http://schemas.openxmlformats.org/officeDocument/2006/relationships/hyperlink" Target="../../../../../../../../../1.%20Aferi&#231;&#227;o/Termohigrometro/Termohigrometro%20Digital%20(032).pdf" TargetMode="External"/><Relationship Id="rId111" Type="http://schemas.openxmlformats.org/officeDocument/2006/relationships/hyperlink" Target="../../../../../../../../../1.%20Aferi&#231;&#227;o/Trena/Trena%20(TR-411).pdf" TargetMode="External"/><Relationship Id="rId153" Type="http://schemas.openxmlformats.org/officeDocument/2006/relationships/hyperlink" Target="../../../../../../../../../1.%20Aferi&#231;&#227;o/Trena/Trena%20(TRE-098-006).pdf" TargetMode="External"/><Relationship Id="rId195" Type="http://schemas.openxmlformats.org/officeDocument/2006/relationships/hyperlink" Target="../../../../../../../../../1.%20Aferi&#231;&#227;o/Man&#244;metro/MAN-239790%20(2304195).pdf" TargetMode="External"/><Relationship Id="rId209" Type="http://schemas.openxmlformats.org/officeDocument/2006/relationships/hyperlink" Target="../../../../../../../../../1.%20Aferi&#231;&#227;o/Alicate%20Amperimetro/Alicate%20Amper&#237;metro%20(1915).pdf" TargetMode="External"/><Relationship Id="rId360" Type="http://schemas.openxmlformats.org/officeDocument/2006/relationships/hyperlink" Target="../../../../../../../../../1.%20Aferi&#231;&#227;o/Trena/Trena%20(TR-561).pdf" TargetMode="External"/><Relationship Id="rId416" Type="http://schemas.openxmlformats.org/officeDocument/2006/relationships/hyperlink" Target="..\Man&#244;metro\LAF-2517520-Man&#244;metro%20Anal&#243;gico%20(MAN-12B).pdf" TargetMode="External"/><Relationship Id="rId220" Type="http://schemas.openxmlformats.org/officeDocument/2006/relationships/hyperlink" Target="../../../../../../../../../1.%20Aferi&#231;&#227;o/Termometro/Term&#244;metro%20Infravermelho%20(TAG-2106).pdf" TargetMode="External"/><Relationship Id="rId15" Type="http://schemas.openxmlformats.org/officeDocument/2006/relationships/hyperlink" Target="../../../../../../../../../1.%20Aferi&#231;&#227;o/Paquimetro/Paquimetro%20de%20Profundidade%20Digital%20(PS-038).pdf" TargetMode="External"/><Relationship Id="rId57" Type="http://schemas.openxmlformats.org/officeDocument/2006/relationships/hyperlink" Target="../../../../../../../../../1.%20Aferi&#231;&#227;o/Micrometro/Micr&#244;metro%20(1918).pdf" TargetMode="External"/><Relationship Id="rId262" Type="http://schemas.openxmlformats.org/officeDocument/2006/relationships/hyperlink" Target="../../../../../../../../../1.%20Aferi&#231;&#227;o/Man&#244;metro/Man&#244;metro%20(TAG-1868).pdf" TargetMode="External"/><Relationship Id="rId318" Type="http://schemas.openxmlformats.org/officeDocument/2006/relationships/hyperlink" Target="../../../../../../../../../1.%20Aferi&#231;&#227;o/Calibre%20de%20Solda/Calibre%20de%20Solda%20(CAS-046).pdf" TargetMode="External"/><Relationship Id="rId99" Type="http://schemas.openxmlformats.org/officeDocument/2006/relationships/hyperlink" Target="../../../../../../../../../1.%20Aferi&#231;&#227;o/Termometro/Termometro%20Infravermelho%20(TAG-27).pdf" TargetMode="External"/><Relationship Id="rId122" Type="http://schemas.openxmlformats.org/officeDocument/2006/relationships/hyperlink" Target="../../../../../../../../../1.%20Aferi&#231;&#227;o/Trena/Trena%20(TRE-003).pdf" TargetMode="External"/><Relationship Id="rId164" Type="http://schemas.openxmlformats.org/officeDocument/2006/relationships/hyperlink" Target="../../../../../../../../../1.%20Aferi&#231;&#227;o/Yoke/Yoke%20(185).pdf" TargetMode="External"/><Relationship Id="rId371" Type="http://schemas.openxmlformats.org/officeDocument/2006/relationships/hyperlink" Target="../../../../../../../../../1.%20Aferi&#231;&#227;o/Trena/Trena%20(TR-572).pdf" TargetMode="External"/><Relationship Id="rId427" Type="http://schemas.openxmlformats.org/officeDocument/2006/relationships/hyperlink" Target="..\Man&#244;metro\LAF-2517531-Man&#244;metro%20Anal&#243;gico%20(MAN-18A).pdf" TargetMode="External"/><Relationship Id="rId26" Type="http://schemas.openxmlformats.org/officeDocument/2006/relationships/hyperlink" Target="../../../../../../../../../1.%20Aferi&#231;&#227;o/Detector%20de%20Fuga%20de%20G&#225;s/Detector%20de%20Fuga%20de%20G&#225;s%20(1865).pdf" TargetMode="External"/><Relationship Id="rId231" Type="http://schemas.openxmlformats.org/officeDocument/2006/relationships/hyperlink" Target="../../../../../../../../../1.%20Aferi&#231;&#227;o/Trena/Trena%20(TR-540).pdf" TargetMode="External"/><Relationship Id="rId273" Type="http://schemas.openxmlformats.org/officeDocument/2006/relationships/hyperlink" Target="../../../../../../../../../1.%20Aferi&#231;&#227;o/Durometro/Durometro%20(1822).pdf" TargetMode="External"/><Relationship Id="rId329" Type="http://schemas.openxmlformats.org/officeDocument/2006/relationships/hyperlink" Target="../../../../../../../../../1.%20Aferi&#231;&#227;o/Esquadro/ESQ-317%20(2421249).pdf" TargetMode="External"/><Relationship Id="rId68" Type="http://schemas.openxmlformats.org/officeDocument/2006/relationships/hyperlink" Target="../../../../../../../../../1.%20Aferi&#231;&#227;o/N&#237;vel/N&#237;vel%20Bolha%20(NI-068).pdf" TargetMode="External"/><Relationship Id="rId133" Type="http://schemas.openxmlformats.org/officeDocument/2006/relationships/hyperlink" Target="../../../../../../../../../1.%20Aferi&#231;&#227;o/Trena/Trena%20(TR-417).pdf" TargetMode="External"/><Relationship Id="rId175" Type="http://schemas.openxmlformats.org/officeDocument/2006/relationships/hyperlink" Target="../../../../../../../../../1.%20Aferi&#231;&#227;o/Man&#244;metro/MAN-02_2303332.pdf" TargetMode="External"/><Relationship Id="rId340" Type="http://schemas.openxmlformats.org/officeDocument/2006/relationships/hyperlink" Target="../../../../../../../../../1.%20Aferi&#231;&#227;o/N&#237;vel/N&#237;vel%20Bolha%20(NI-304).pdf" TargetMode="External"/><Relationship Id="rId200" Type="http://schemas.openxmlformats.org/officeDocument/2006/relationships/hyperlink" Target="../../../../../../../../../1.%20Aferi&#231;&#227;o/Detector%20de%20Fuga%20de%20G&#225;s/Detector%20Port&#225;til%20de%20G&#225;s%20(2100).pdf" TargetMode="External"/><Relationship Id="rId382" Type="http://schemas.openxmlformats.org/officeDocument/2006/relationships/hyperlink" Target="../../../../../../../../../1.%20Aferi&#231;&#227;o/Certificados%20TH/PSV-001AF%20(0504-24).pdf" TargetMode="External"/><Relationship Id="rId242" Type="http://schemas.openxmlformats.org/officeDocument/2006/relationships/hyperlink" Target="../../../../../../../../../1.%20Aferi&#231;&#227;o/Man&#244;metro/MPR-526_2306296.pdf" TargetMode="External"/><Relationship Id="rId284" Type="http://schemas.openxmlformats.org/officeDocument/2006/relationships/hyperlink" Target="../../../../../../../../../1.%20Aferi&#231;&#227;o/Medidor%20de%20Camada%20-%20Espessura/Medidor%20de%20Camada%20Ferrosa%20Digital%20(1811).pdf" TargetMode="External"/><Relationship Id="rId37" Type="http://schemas.openxmlformats.org/officeDocument/2006/relationships/hyperlink" Target="../../../../../../../../../1.%20Aferi&#231;&#227;o/Holiday%20Detector/Holiday%20Detector%20(1973).pdf" TargetMode="External"/><Relationship Id="rId79" Type="http://schemas.openxmlformats.org/officeDocument/2006/relationships/hyperlink" Target="../../../../../../../../../1.%20Aferi&#231;&#227;o/Pastilha%20sensora/Patilha%20Sensora%20(TAG%203185).pdf" TargetMode="External"/><Relationship Id="rId102" Type="http://schemas.openxmlformats.org/officeDocument/2006/relationships/hyperlink" Target="../../../../../../../../../1.%20Aferi&#231;&#227;o/Termometro/Term&#244;metro%20Infravermelho%20(TAG-30).pdf" TargetMode="External"/><Relationship Id="rId144" Type="http://schemas.openxmlformats.org/officeDocument/2006/relationships/hyperlink" Target="../../../../../../../../../1.%20Aferi&#231;&#227;o/Trena/Trena%20(TR-535).pdf" TargetMode="External"/><Relationship Id="rId90" Type="http://schemas.openxmlformats.org/officeDocument/2006/relationships/hyperlink" Target="../../../../../../../../../1.%20Aferi&#231;&#227;o/Termohigrometro/Termohigrometro%20Digital%20(TAG-35).pdf" TargetMode="External"/><Relationship Id="rId186" Type="http://schemas.openxmlformats.org/officeDocument/2006/relationships/hyperlink" Target="../../../../../../../../../1.%20Aferi&#231;&#227;o/Man&#244;metro/MAN-10-A_2303499.pdf" TargetMode="External"/><Relationship Id="rId351" Type="http://schemas.openxmlformats.org/officeDocument/2006/relationships/hyperlink" Target="../../../../../../../../../1.%20Aferi&#231;&#227;o/Trena/Trena%20(TR-554).pdf" TargetMode="External"/><Relationship Id="rId393" Type="http://schemas.openxmlformats.org/officeDocument/2006/relationships/hyperlink" Target="../../../../../../../../../1.%20Aferi&#231;&#227;o/Fluxometro%20(Bibimetro)/FLUXOMETRO%20(FLX-004).pdf" TargetMode="External"/><Relationship Id="rId407" Type="http://schemas.openxmlformats.org/officeDocument/2006/relationships/hyperlink" Target="../../../../../../../../../1.%20Aferi&#231;&#227;o/Man&#244;metro/1868_2501249.pdf" TargetMode="External"/><Relationship Id="rId211" Type="http://schemas.openxmlformats.org/officeDocument/2006/relationships/hyperlink" Target="../../../../../../../../../1.%20Aferi&#231;&#227;o/Calibre%20de%20Solda/Calibre%20de%20Solda%20(CAS-004).pdf" TargetMode="External"/><Relationship Id="rId253" Type="http://schemas.openxmlformats.org/officeDocument/2006/relationships/hyperlink" Target="../../../../../../../../../1.%20Aferi&#231;&#227;o/N&#237;vel/N&#237;vel%20Bolha%20(NI-288).pdf" TargetMode="External"/><Relationship Id="rId295" Type="http://schemas.openxmlformats.org/officeDocument/2006/relationships/hyperlink" Target="../../../../../../../../../1.%20Aferi&#231;&#227;o/N&#237;vel/N&#237;vel%20de%20Bolha%20(NI-066).pdf" TargetMode="External"/><Relationship Id="rId309" Type="http://schemas.openxmlformats.org/officeDocument/2006/relationships/hyperlink" Target="../../../../../../../../../1.%20Aferi&#231;&#227;o/Transferidor%20(Goniometro)/Transferidor%20de%20Grau%20(TAG-TG-001).pdf" TargetMode="External"/><Relationship Id="rId48" Type="http://schemas.openxmlformats.org/officeDocument/2006/relationships/hyperlink" Target="../../../../../../../../../1.%20Aferi&#231;&#227;o/Haste%20padr&#227;o/Haste%20Padr&#227;o%20(1918-2).pdf" TargetMode="External"/><Relationship Id="rId113" Type="http://schemas.openxmlformats.org/officeDocument/2006/relationships/hyperlink" Target="../../../../../../../../../1.%20Aferi&#231;&#227;o/Trena/Trena%20(TR-%20414-1).pdf" TargetMode="External"/><Relationship Id="rId320" Type="http://schemas.openxmlformats.org/officeDocument/2006/relationships/hyperlink" Target="../../../../../../../../../1.%20Aferi&#231;&#227;o/Calibre%20de%20Solda/Calibre%20de%20Solda%20(CAS-048).pdf" TargetMode="External"/><Relationship Id="rId155" Type="http://schemas.openxmlformats.org/officeDocument/2006/relationships/hyperlink" Target="../../../../../../../../../1.%20Aferi&#231;&#227;o/Tubo%20Colorido%20-%20Decantador/Tubo%20decantador%20-%20VID-001.pdf" TargetMode="External"/><Relationship Id="rId197" Type="http://schemas.openxmlformats.org/officeDocument/2006/relationships/hyperlink" Target="../../../../../../../../../1.%20Aferi&#231;&#227;o/Man&#244;metro/MAN-1538%20(2304191).pdf" TargetMode="External"/><Relationship Id="rId362" Type="http://schemas.openxmlformats.org/officeDocument/2006/relationships/hyperlink" Target="../../../../../../../../../1.%20Aferi&#231;&#227;o/Trena/Trena%20(TR-563).pdf" TargetMode="External"/><Relationship Id="rId418" Type="http://schemas.openxmlformats.org/officeDocument/2006/relationships/hyperlink" Target="..\Man&#244;metro\LAF-2517522-Man&#244;metro%20Anal&#243;gico%20(MAN-13B).pdf" TargetMode="External"/><Relationship Id="rId222" Type="http://schemas.openxmlformats.org/officeDocument/2006/relationships/hyperlink" Target="../../../../../../../../../1.%20Aferi&#231;&#227;o/Termohigrometro/Termohigr&#244;metro%20(TAG-2110).pdf" TargetMode="External"/><Relationship Id="rId264" Type="http://schemas.openxmlformats.org/officeDocument/2006/relationships/hyperlink" Target="../../../../../../../../../1.%20Aferi&#231;&#227;o/Man&#244;metro/Manometro%200-50%20kgf%20(8200DA34).pdf" TargetMode="External"/><Relationship Id="rId17" Type="http://schemas.openxmlformats.org/officeDocument/2006/relationships/hyperlink" Target="../../../../../../../../../1.%20Aferi&#231;&#227;o/Calibre%20de%20Solda/Calibre%20de%20Solda%20Hi-lo%20(CAS-015).pdf" TargetMode="External"/><Relationship Id="rId59" Type="http://schemas.openxmlformats.org/officeDocument/2006/relationships/hyperlink" Target="../../../../../../../../../1.%20Aferi&#231;&#227;o/Multimetro/Multimetro%20Digital%20(TAG-1847).pdf" TargetMode="External"/><Relationship Id="rId124" Type="http://schemas.openxmlformats.org/officeDocument/2006/relationships/hyperlink" Target="../../../../../../../../../1.%20Aferi&#231;&#227;o/Trena/Trena%20(TRE-013).pdf" TargetMode="External"/><Relationship Id="rId70" Type="http://schemas.openxmlformats.org/officeDocument/2006/relationships/hyperlink" Target="../../../../../../../../../1.%20Aferi&#231;&#227;o/N&#237;vel/N&#237;vel%20Bolha%20(NI-070).pdf" TargetMode="External"/><Relationship Id="rId166" Type="http://schemas.openxmlformats.org/officeDocument/2006/relationships/hyperlink" Target="../../../../../../../../../1.%20Aferi&#231;&#227;o/Yoke/Yoke%20(TAG-1295).pdf" TargetMode="External"/><Relationship Id="rId331" Type="http://schemas.openxmlformats.org/officeDocument/2006/relationships/hyperlink" Target="../../../../../../../../../1.%20Aferi&#231;&#227;o/N&#237;vel/N&#237;vel%20Bolha%20(NI-295).pdf" TargetMode="External"/><Relationship Id="rId373" Type="http://schemas.openxmlformats.org/officeDocument/2006/relationships/hyperlink" Target="../../../../../../../../../1.%20Aferi&#231;&#227;o/Trena/Trena%20(TR-574).pdf" TargetMode="External"/><Relationship Id="rId429" Type="http://schemas.openxmlformats.org/officeDocument/2006/relationships/hyperlink" Target="..\Man&#244;metro\LAF-2517533-Man&#244;metro%20Anal&#243;gico%20(MAN-19A)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7"/>
  <sheetViews>
    <sheetView tabSelected="1" view="pageBreakPreview" topLeftCell="A5" zoomScaleNormal="115" zoomScaleSheetLayoutView="100" workbookViewId="0">
      <pane xSplit="1" ySplit="1" topLeftCell="B57" activePane="bottomRight" state="frozen"/>
      <selection activeCell="A5" sqref="A5"/>
      <selection pane="topRight" activeCell="B5" sqref="B5"/>
      <selection pane="bottomLeft" activeCell="A6" sqref="A6"/>
      <selection pane="bottomRight" activeCell="J719" sqref="J719"/>
    </sheetView>
  </sheetViews>
  <sheetFormatPr defaultRowHeight="14.25" x14ac:dyDescent="0.2"/>
  <cols>
    <col min="1" max="1" width="42.7109375" style="8" bestFit="1" customWidth="1"/>
    <col min="2" max="2" width="24.5703125" style="8" customWidth="1"/>
    <col min="3" max="3" width="23.140625" style="8" bestFit="1" customWidth="1"/>
    <col min="4" max="4" width="15.5703125" style="11" customWidth="1"/>
    <col min="5" max="5" width="17" style="11" customWidth="1"/>
    <col min="6" max="6" width="22.28515625" style="11" customWidth="1"/>
    <col min="7" max="7" width="21.5703125" style="11" customWidth="1"/>
    <col min="8" max="8" width="21.7109375" style="11" customWidth="1"/>
    <col min="9" max="9" width="18.140625" style="11" customWidth="1"/>
    <col min="10" max="10" width="15.28515625" style="8" customWidth="1"/>
    <col min="11" max="11" width="16.140625" style="10" customWidth="1"/>
    <col min="12" max="12" width="22.5703125" style="8" customWidth="1"/>
    <col min="13" max="13" width="11.28515625" style="11" bestFit="1" customWidth="1"/>
    <col min="14" max="16384" width="9.140625" style="8"/>
  </cols>
  <sheetData>
    <row r="1" spans="1:13" ht="17.25" hidden="1" customHeight="1" x14ac:dyDescent="0.2">
      <c r="A1" s="96"/>
      <c r="B1" s="34"/>
      <c r="C1" s="87" t="s">
        <v>12</v>
      </c>
      <c r="D1" s="88"/>
      <c r="E1" s="88"/>
      <c r="F1" s="88"/>
      <c r="G1" s="88"/>
      <c r="H1" s="88"/>
      <c r="I1" s="89"/>
      <c r="J1" s="1" t="s">
        <v>0</v>
      </c>
      <c r="K1" s="99" t="s">
        <v>97</v>
      </c>
      <c r="L1" s="100"/>
    </row>
    <row r="2" spans="1:13" ht="21" hidden="1" customHeight="1" x14ac:dyDescent="0.2">
      <c r="A2" s="97"/>
      <c r="B2" s="35"/>
      <c r="C2" s="90"/>
      <c r="D2" s="91"/>
      <c r="E2" s="91"/>
      <c r="F2" s="91"/>
      <c r="G2" s="91"/>
      <c r="H2" s="91"/>
      <c r="I2" s="92"/>
      <c r="J2" s="2" t="s">
        <v>98</v>
      </c>
      <c r="K2" s="101">
        <v>44874</v>
      </c>
      <c r="L2" s="102"/>
    </row>
    <row r="3" spans="1:13" ht="17.25" hidden="1" customHeight="1" x14ac:dyDescent="0.2">
      <c r="A3" s="98"/>
      <c r="B3" s="36"/>
      <c r="C3" s="93"/>
      <c r="D3" s="94"/>
      <c r="E3" s="94"/>
      <c r="F3" s="94"/>
      <c r="G3" s="94"/>
      <c r="H3" s="94"/>
      <c r="I3" s="95"/>
      <c r="J3" s="2" t="s">
        <v>1</v>
      </c>
      <c r="K3" s="103" t="s">
        <v>1100</v>
      </c>
      <c r="L3" s="104"/>
    </row>
    <row r="4" spans="1:13" ht="17.25" hidden="1" customHeight="1" x14ac:dyDescent="0.2">
      <c r="A4" s="38"/>
      <c r="B4" s="36"/>
      <c r="C4" s="32"/>
      <c r="D4" s="32"/>
      <c r="E4" s="32"/>
      <c r="F4" s="32"/>
      <c r="G4" s="32"/>
      <c r="H4" s="32"/>
      <c r="I4" s="32"/>
      <c r="J4" s="39"/>
      <c r="K4" s="40"/>
      <c r="L4" s="33"/>
    </row>
    <row r="5" spans="1:13" s="50" customFormat="1" ht="27" customHeight="1" x14ac:dyDescent="0.2">
      <c r="A5" s="58" t="s">
        <v>2</v>
      </c>
      <c r="B5" s="45" t="s">
        <v>1067</v>
      </c>
      <c r="C5" s="46" t="s">
        <v>3</v>
      </c>
      <c r="D5" s="47" t="s">
        <v>4</v>
      </c>
      <c r="E5" s="47" t="s">
        <v>21</v>
      </c>
      <c r="F5" s="47" t="s">
        <v>10</v>
      </c>
      <c r="G5" s="47" t="s">
        <v>5</v>
      </c>
      <c r="H5" s="47" t="s">
        <v>6</v>
      </c>
      <c r="I5" s="47" t="s">
        <v>14</v>
      </c>
      <c r="J5" s="46" t="s">
        <v>7</v>
      </c>
      <c r="K5" s="9" t="s">
        <v>11</v>
      </c>
      <c r="L5" s="48" t="s">
        <v>64</v>
      </c>
      <c r="M5" s="49"/>
    </row>
    <row r="6" spans="1:13" s="15" customFormat="1" ht="18" customHeight="1" x14ac:dyDescent="0.2">
      <c r="A6" s="3" t="s">
        <v>74</v>
      </c>
      <c r="B6" s="3"/>
      <c r="C6" s="3" t="s">
        <v>8</v>
      </c>
      <c r="D6" s="4">
        <v>1251</v>
      </c>
      <c r="E6" s="4">
        <v>1251</v>
      </c>
      <c r="F6" s="16" t="s">
        <v>50</v>
      </c>
      <c r="G6" s="5" t="s">
        <v>15</v>
      </c>
      <c r="H6" s="5" t="s">
        <v>234</v>
      </c>
      <c r="I6" s="6">
        <v>2001354</v>
      </c>
      <c r="J6" s="7">
        <v>43894</v>
      </c>
      <c r="K6" s="7">
        <f t="shared" ref="K6:K20" si="0">J6+720</f>
        <v>44614</v>
      </c>
      <c r="L6" s="17" t="s">
        <v>99</v>
      </c>
      <c r="M6" s="13"/>
    </row>
    <row r="7" spans="1:13" s="15" customFormat="1" ht="18" customHeight="1" x14ac:dyDescent="0.2">
      <c r="A7" s="3" t="s">
        <v>74</v>
      </c>
      <c r="B7" s="3"/>
      <c r="C7" s="3" t="s">
        <v>8</v>
      </c>
      <c r="D7" s="4">
        <v>1412</v>
      </c>
      <c r="E7" s="4">
        <v>1412</v>
      </c>
      <c r="F7" s="16" t="s">
        <v>135</v>
      </c>
      <c r="G7" s="5" t="s">
        <v>26</v>
      </c>
      <c r="H7" s="5" t="s">
        <v>67</v>
      </c>
      <c r="I7" s="6">
        <v>1800616</v>
      </c>
      <c r="J7" s="7">
        <v>43139</v>
      </c>
      <c r="K7" s="7">
        <f t="shared" si="0"/>
        <v>43859</v>
      </c>
      <c r="L7" s="17" t="s">
        <v>99</v>
      </c>
      <c r="M7" s="13"/>
    </row>
    <row r="8" spans="1:13" s="15" customFormat="1" ht="18" customHeight="1" x14ac:dyDescent="0.2">
      <c r="A8" s="75" t="s">
        <v>74</v>
      </c>
      <c r="B8" s="3"/>
      <c r="C8" s="3" t="s">
        <v>8</v>
      </c>
      <c r="D8" s="74">
        <v>1421</v>
      </c>
      <c r="E8" s="74">
        <v>1421</v>
      </c>
      <c r="F8" s="16" t="s">
        <v>1262</v>
      </c>
      <c r="G8" s="5" t="s">
        <v>15</v>
      </c>
      <c r="H8" s="5" t="s">
        <v>163</v>
      </c>
      <c r="I8" s="42">
        <v>2415647</v>
      </c>
      <c r="J8" s="7">
        <v>45467</v>
      </c>
      <c r="K8" s="7">
        <f t="shared" si="0"/>
        <v>46187</v>
      </c>
      <c r="L8" s="17" t="s">
        <v>1257</v>
      </c>
      <c r="M8" s="13"/>
    </row>
    <row r="9" spans="1:13" s="13" customFormat="1" ht="18" customHeight="1" x14ac:dyDescent="0.2">
      <c r="A9" s="3" t="s">
        <v>74</v>
      </c>
      <c r="B9" s="3"/>
      <c r="C9" s="3" t="s">
        <v>8</v>
      </c>
      <c r="D9" s="4">
        <v>1422</v>
      </c>
      <c r="E9" s="4">
        <v>1422</v>
      </c>
      <c r="F9" s="16" t="s">
        <v>141</v>
      </c>
      <c r="G9" s="5" t="s">
        <v>15</v>
      </c>
      <c r="H9" s="5" t="s">
        <v>67</v>
      </c>
      <c r="I9" s="6">
        <v>1800615</v>
      </c>
      <c r="J9" s="7">
        <v>43139</v>
      </c>
      <c r="K9" s="7">
        <f t="shared" si="0"/>
        <v>43859</v>
      </c>
      <c r="L9" s="17" t="s">
        <v>99</v>
      </c>
    </row>
    <row r="10" spans="1:13" s="15" customFormat="1" ht="18" customHeight="1" x14ac:dyDescent="0.2">
      <c r="A10" s="3" t="s">
        <v>74</v>
      </c>
      <c r="B10" s="3"/>
      <c r="C10" s="3" t="s">
        <v>35</v>
      </c>
      <c r="D10" s="74">
        <v>1915</v>
      </c>
      <c r="E10" s="4">
        <v>1915</v>
      </c>
      <c r="F10" s="16" t="s">
        <v>155</v>
      </c>
      <c r="G10" s="5">
        <v>325</v>
      </c>
      <c r="H10" s="5" t="s">
        <v>163</v>
      </c>
      <c r="I10" s="42">
        <v>2305350</v>
      </c>
      <c r="J10" s="7">
        <v>44995</v>
      </c>
      <c r="K10" s="7">
        <f t="shared" si="0"/>
        <v>45715</v>
      </c>
      <c r="L10" s="17" t="s">
        <v>1257</v>
      </c>
      <c r="M10" s="13"/>
    </row>
    <row r="11" spans="1:13" s="55" customFormat="1" ht="18" customHeight="1" x14ac:dyDescent="0.2">
      <c r="A11" s="21" t="s">
        <v>74</v>
      </c>
      <c r="B11" s="21"/>
      <c r="C11" s="21" t="s">
        <v>35</v>
      </c>
      <c r="D11" s="74">
        <v>2000</v>
      </c>
      <c r="E11" s="4">
        <v>2000</v>
      </c>
      <c r="F11" s="16" t="s">
        <v>506</v>
      </c>
      <c r="G11" s="4">
        <v>325</v>
      </c>
      <c r="H11" s="4" t="s">
        <v>171</v>
      </c>
      <c r="I11" s="22">
        <v>2504613</v>
      </c>
      <c r="J11" s="7">
        <v>45705</v>
      </c>
      <c r="K11" s="7">
        <f t="shared" si="0"/>
        <v>46425</v>
      </c>
      <c r="L11" s="17" t="s">
        <v>1257</v>
      </c>
      <c r="M11" s="54"/>
    </row>
    <row r="12" spans="1:13" s="15" customFormat="1" ht="18" customHeight="1" x14ac:dyDescent="0.2">
      <c r="A12" s="3" t="s">
        <v>74</v>
      </c>
      <c r="B12" s="3"/>
      <c r="C12" s="3" t="s">
        <v>8</v>
      </c>
      <c r="D12" s="4" t="s">
        <v>573</v>
      </c>
      <c r="E12" s="4" t="s">
        <v>573</v>
      </c>
      <c r="F12" s="16" t="s">
        <v>13</v>
      </c>
      <c r="G12" s="5" t="s">
        <v>9</v>
      </c>
      <c r="H12" s="5" t="s">
        <v>67</v>
      </c>
      <c r="I12" s="6">
        <v>1800614</v>
      </c>
      <c r="J12" s="7">
        <v>43139</v>
      </c>
      <c r="K12" s="7">
        <f t="shared" si="0"/>
        <v>43859</v>
      </c>
      <c r="L12" s="17" t="s">
        <v>99</v>
      </c>
      <c r="M12" s="13"/>
    </row>
    <row r="13" spans="1:13" s="13" customFormat="1" ht="18" customHeight="1" x14ac:dyDescent="0.2">
      <c r="A13" s="3" t="s">
        <v>180</v>
      </c>
      <c r="B13" s="3"/>
      <c r="C13" s="3" t="s">
        <v>8</v>
      </c>
      <c r="D13" s="4">
        <v>572</v>
      </c>
      <c r="E13" s="4">
        <v>572</v>
      </c>
      <c r="F13" s="16" t="s">
        <v>13</v>
      </c>
      <c r="G13" s="5" t="s">
        <v>281</v>
      </c>
      <c r="H13" s="5" t="s">
        <v>16</v>
      </c>
      <c r="I13" s="6" t="s">
        <v>282</v>
      </c>
      <c r="J13" s="7">
        <v>43620</v>
      </c>
      <c r="K13" s="7">
        <f t="shared" si="0"/>
        <v>44340</v>
      </c>
      <c r="L13" s="17" t="s">
        <v>99</v>
      </c>
    </row>
    <row r="14" spans="1:13" s="14" customFormat="1" ht="18" customHeight="1" x14ac:dyDescent="0.2">
      <c r="A14" s="3" t="s">
        <v>180</v>
      </c>
      <c r="B14" s="3"/>
      <c r="C14" s="3" t="s">
        <v>8</v>
      </c>
      <c r="D14" s="4">
        <v>861</v>
      </c>
      <c r="E14" s="4">
        <v>861</v>
      </c>
      <c r="F14" s="16" t="s">
        <v>13</v>
      </c>
      <c r="G14" s="5" t="s">
        <v>15</v>
      </c>
      <c r="H14" s="5" t="s">
        <v>163</v>
      </c>
      <c r="I14" s="6" t="s">
        <v>181</v>
      </c>
      <c r="J14" s="7">
        <v>43259</v>
      </c>
      <c r="K14" s="7">
        <f t="shared" si="0"/>
        <v>43979</v>
      </c>
      <c r="L14" s="17" t="s">
        <v>99</v>
      </c>
      <c r="M14" s="13"/>
    </row>
    <row r="15" spans="1:13" s="14" customFormat="1" ht="18" customHeight="1" x14ac:dyDescent="0.2">
      <c r="A15" s="75" t="s">
        <v>180</v>
      </c>
      <c r="B15" s="3"/>
      <c r="C15" s="3"/>
      <c r="D15" s="74">
        <v>862</v>
      </c>
      <c r="E15" s="74">
        <v>862</v>
      </c>
      <c r="F15" s="16" t="s">
        <v>1261</v>
      </c>
      <c r="G15" s="5" t="s">
        <v>15</v>
      </c>
      <c r="H15" s="5" t="s">
        <v>163</v>
      </c>
      <c r="I15" s="42">
        <v>2415648</v>
      </c>
      <c r="J15" s="7">
        <v>45467</v>
      </c>
      <c r="K15" s="7">
        <f t="shared" si="0"/>
        <v>46187</v>
      </c>
      <c r="L15" s="17" t="s">
        <v>1257</v>
      </c>
      <c r="M15" s="13"/>
    </row>
    <row r="16" spans="1:13" s="15" customFormat="1" ht="18" customHeight="1" x14ac:dyDescent="0.2">
      <c r="A16" s="3" t="s">
        <v>180</v>
      </c>
      <c r="B16" s="3"/>
      <c r="C16" s="3" t="s">
        <v>35</v>
      </c>
      <c r="D16" s="74">
        <v>1914</v>
      </c>
      <c r="E16" s="4">
        <v>1914</v>
      </c>
      <c r="F16" s="16" t="s">
        <v>154</v>
      </c>
      <c r="G16" s="5">
        <v>325</v>
      </c>
      <c r="H16" s="5" t="s">
        <v>163</v>
      </c>
      <c r="I16" s="42">
        <v>2504612</v>
      </c>
      <c r="J16" s="7">
        <v>45705</v>
      </c>
      <c r="K16" s="7">
        <f t="shared" si="0"/>
        <v>46425</v>
      </c>
      <c r="L16" s="17" t="s">
        <v>1257</v>
      </c>
      <c r="M16" s="13"/>
    </row>
    <row r="17" spans="1:13" s="15" customFormat="1" ht="18" customHeight="1" x14ac:dyDescent="0.2">
      <c r="A17" s="3" t="s">
        <v>180</v>
      </c>
      <c r="B17" s="3"/>
      <c r="C17" s="3" t="s">
        <v>35</v>
      </c>
      <c r="D17" s="74">
        <v>2042</v>
      </c>
      <c r="E17" s="4">
        <v>2042</v>
      </c>
      <c r="F17" s="16" t="s">
        <v>804</v>
      </c>
      <c r="G17" s="5">
        <v>325</v>
      </c>
      <c r="H17" s="5" t="s">
        <v>163</v>
      </c>
      <c r="I17" s="42">
        <v>2434026</v>
      </c>
      <c r="J17" s="7">
        <v>45583</v>
      </c>
      <c r="K17" s="7">
        <f t="shared" si="0"/>
        <v>46303</v>
      </c>
      <c r="L17" s="17" t="s">
        <v>1257</v>
      </c>
      <c r="M17" s="13"/>
    </row>
    <row r="18" spans="1:13" s="15" customFormat="1" ht="18" customHeight="1" x14ac:dyDescent="0.2">
      <c r="A18" s="65" t="s">
        <v>180</v>
      </c>
      <c r="B18" s="3"/>
      <c r="C18" s="3" t="s">
        <v>35</v>
      </c>
      <c r="D18" s="74">
        <v>2113</v>
      </c>
      <c r="E18" s="4">
        <v>2113</v>
      </c>
      <c r="F18" s="16" t="s">
        <v>1226</v>
      </c>
      <c r="G18" s="5">
        <v>326</v>
      </c>
      <c r="H18" s="5" t="s">
        <v>163</v>
      </c>
      <c r="I18" s="42">
        <v>2307943</v>
      </c>
      <c r="J18" s="7">
        <v>45013</v>
      </c>
      <c r="K18" s="7">
        <f t="shared" si="0"/>
        <v>45733</v>
      </c>
      <c r="L18" s="17" t="s">
        <v>1257</v>
      </c>
      <c r="M18" s="13"/>
    </row>
    <row r="19" spans="1:13" s="15" customFormat="1" ht="18" customHeight="1" x14ac:dyDescent="0.2">
      <c r="A19" s="3" t="s">
        <v>1482</v>
      </c>
      <c r="B19" s="3" t="s">
        <v>1467</v>
      </c>
      <c r="C19" s="3" t="s">
        <v>1478</v>
      </c>
      <c r="D19" s="4" t="s">
        <v>1479</v>
      </c>
      <c r="E19" s="4" t="s">
        <v>1479</v>
      </c>
      <c r="F19" s="16" t="s">
        <v>1479</v>
      </c>
      <c r="G19" s="5" t="s">
        <v>13</v>
      </c>
      <c r="H19" s="5" t="s">
        <v>1480</v>
      </c>
      <c r="I19" s="42" t="s">
        <v>1481</v>
      </c>
      <c r="J19" s="7">
        <v>45729</v>
      </c>
      <c r="K19" s="7">
        <f>J19+720</f>
        <v>46449</v>
      </c>
      <c r="L19" s="17" t="s">
        <v>1257</v>
      </c>
      <c r="M19" s="13"/>
    </row>
    <row r="20" spans="1:13" s="15" customFormat="1" ht="18" customHeight="1" x14ac:dyDescent="0.2">
      <c r="A20" s="3" t="s">
        <v>68</v>
      </c>
      <c r="B20" s="3"/>
      <c r="C20" s="3" t="s">
        <v>69</v>
      </c>
      <c r="D20" s="4" t="s">
        <v>77</v>
      </c>
      <c r="E20" s="4" t="s">
        <v>77</v>
      </c>
      <c r="F20" s="16" t="s">
        <v>70</v>
      </c>
      <c r="G20" s="5" t="s">
        <v>71</v>
      </c>
      <c r="H20" s="5" t="s">
        <v>67</v>
      </c>
      <c r="I20" s="6">
        <v>1800661</v>
      </c>
      <c r="J20" s="7">
        <v>43138</v>
      </c>
      <c r="K20" s="7">
        <f t="shared" si="0"/>
        <v>43858</v>
      </c>
      <c r="L20" s="17" t="s">
        <v>99</v>
      </c>
      <c r="M20" s="13"/>
    </row>
    <row r="21" spans="1:13" s="14" customFormat="1" ht="18" customHeight="1" x14ac:dyDescent="0.2">
      <c r="A21" s="3" t="s">
        <v>158</v>
      </c>
      <c r="B21" s="3"/>
      <c r="C21" s="3" t="s">
        <v>159</v>
      </c>
      <c r="D21" s="74">
        <v>1922</v>
      </c>
      <c r="E21" s="4">
        <v>1922</v>
      </c>
      <c r="F21" s="16">
        <v>21331</v>
      </c>
      <c r="G21" s="5" t="s">
        <v>160</v>
      </c>
      <c r="H21" s="5" t="s">
        <v>163</v>
      </c>
      <c r="I21" s="42">
        <v>2415650</v>
      </c>
      <c r="J21" s="7">
        <v>45462</v>
      </c>
      <c r="K21" s="7">
        <f>J21+365</f>
        <v>45827</v>
      </c>
      <c r="L21" s="17" t="s">
        <v>1257</v>
      </c>
      <c r="M21" s="13"/>
    </row>
    <row r="22" spans="1:13" s="14" customFormat="1" ht="18" customHeight="1" x14ac:dyDescent="0.2">
      <c r="A22" s="3" t="s">
        <v>1466</v>
      </c>
      <c r="B22" s="3" t="s">
        <v>1467</v>
      </c>
      <c r="C22" s="3" t="s">
        <v>1469</v>
      </c>
      <c r="D22" s="4" t="s">
        <v>13</v>
      </c>
      <c r="E22" s="4" t="s">
        <v>13</v>
      </c>
      <c r="F22" s="16">
        <v>13311593</v>
      </c>
      <c r="G22" s="5" t="s">
        <v>1468</v>
      </c>
      <c r="H22" s="5" t="s">
        <v>1470</v>
      </c>
      <c r="I22" s="42" t="s">
        <v>1471</v>
      </c>
      <c r="J22" s="7">
        <v>45593</v>
      </c>
      <c r="K22" s="7">
        <f>J22+365</f>
        <v>45958</v>
      </c>
      <c r="L22" s="17" t="s">
        <v>1257</v>
      </c>
      <c r="M22" s="13"/>
    </row>
    <row r="23" spans="1:13" s="13" customFormat="1" ht="18" customHeight="1" x14ac:dyDescent="0.2">
      <c r="A23" s="3" t="s">
        <v>420</v>
      </c>
      <c r="B23" s="3"/>
      <c r="C23" s="3" t="s">
        <v>297</v>
      </c>
      <c r="D23" s="4" t="s">
        <v>442</v>
      </c>
      <c r="E23" s="4" t="s">
        <v>442</v>
      </c>
      <c r="F23" s="16" t="s">
        <v>13</v>
      </c>
      <c r="G23" s="5" t="s">
        <v>13</v>
      </c>
      <c r="H23" s="5" t="s">
        <v>422</v>
      </c>
      <c r="I23" s="42" t="s">
        <v>443</v>
      </c>
      <c r="J23" s="7">
        <v>44025</v>
      </c>
      <c r="K23" s="7">
        <f t="shared" ref="K23:K29" si="1">J23+1800</f>
        <v>45825</v>
      </c>
      <c r="L23" s="17" t="s">
        <v>99</v>
      </c>
    </row>
    <row r="24" spans="1:13" s="13" customFormat="1" ht="18" customHeight="1" x14ac:dyDescent="0.2">
      <c r="A24" s="3" t="s">
        <v>420</v>
      </c>
      <c r="B24" s="3"/>
      <c r="C24" s="3" t="s">
        <v>297</v>
      </c>
      <c r="D24" s="4" t="s">
        <v>440</v>
      </c>
      <c r="E24" s="4" t="s">
        <v>440</v>
      </c>
      <c r="F24" s="16" t="s">
        <v>13</v>
      </c>
      <c r="G24" s="5" t="s">
        <v>13</v>
      </c>
      <c r="H24" s="5" t="s">
        <v>422</v>
      </c>
      <c r="I24" s="42" t="s">
        <v>441</v>
      </c>
      <c r="J24" s="7">
        <v>44025</v>
      </c>
      <c r="K24" s="7">
        <f t="shared" si="1"/>
        <v>45825</v>
      </c>
      <c r="L24" s="17" t="s">
        <v>99</v>
      </c>
    </row>
    <row r="25" spans="1:13" s="13" customFormat="1" ht="18" customHeight="1" x14ac:dyDescent="0.2">
      <c r="A25" s="3" t="s">
        <v>420</v>
      </c>
      <c r="B25" s="3"/>
      <c r="C25" s="3" t="s">
        <v>297</v>
      </c>
      <c r="D25" s="4" t="s">
        <v>436</v>
      </c>
      <c r="E25" s="4" t="s">
        <v>436</v>
      </c>
      <c r="F25" s="16" t="s">
        <v>13</v>
      </c>
      <c r="G25" s="5" t="s">
        <v>13</v>
      </c>
      <c r="H25" s="5" t="s">
        <v>422</v>
      </c>
      <c r="I25" s="42" t="s">
        <v>439</v>
      </c>
      <c r="J25" s="7">
        <v>44025</v>
      </c>
      <c r="K25" s="7">
        <f t="shared" si="1"/>
        <v>45825</v>
      </c>
      <c r="L25" s="17" t="s">
        <v>99</v>
      </c>
    </row>
    <row r="26" spans="1:13" s="13" customFormat="1" ht="18" customHeight="1" x14ac:dyDescent="0.2">
      <c r="A26" s="3" t="s">
        <v>420</v>
      </c>
      <c r="B26" s="3"/>
      <c r="C26" s="3" t="s">
        <v>297</v>
      </c>
      <c r="D26" s="4" t="s">
        <v>437</v>
      </c>
      <c r="E26" s="4" t="s">
        <v>437</v>
      </c>
      <c r="F26" s="16" t="s">
        <v>13</v>
      </c>
      <c r="G26" s="5" t="s">
        <v>13</v>
      </c>
      <c r="H26" s="5" t="s">
        <v>422</v>
      </c>
      <c r="I26" s="42" t="s">
        <v>438</v>
      </c>
      <c r="J26" s="7">
        <v>44025</v>
      </c>
      <c r="K26" s="7">
        <f t="shared" si="1"/>
        <v>45825</v>
      </c>
      <c r="L26" s="17" t="s">
        <v>99</v>
      </c>
    </row>
    <row r="27" spans="1:13" s="13" customFormat="1" ht="18" customHeight="1" x14ac:dyDescent="0.2">
      <c r="A27" s="3" t="s">
        <v>420</v>
      </c>
      <c r="B27" s="3"/>
      <c r="C27" s="3" t="s">
        <v>297</v>
      </c>
      <c r="D27" s="4" t="s">
        <v>421</v>
      </c>
      <c r="E27" s="4" t="s">
        <v>421</v>
      </c>
      <c r="F27" s="16" t="s">
        <v>13</v>
      </c>
      <c r="G27" s="5" t="s">
        <v>13</v>
      </c>
      <c r="H27" s="5" t="s">
        <v>422</v>
      </c>
      <c r="I27" s="42" t="s">
        <v>423</v>
      </c>
      <c r="J27" s="7">
        <v>44026</v>
      </c>
      <c r="K27" s="7">
        <f t="shared" si="1"/>
        <v>45826</v>
      </c>
      <c r="L27" s="17" t="s">
        <v>99</v>
      </c>
    </row>
    <row r="28" spans="1:13" s="14" customFormat="1" ht="18" customHeight="1" x14ac:dyDescent="0.2">
      <c r="A28" s="3" t="s">
        <v>420</v>
      </c>
      <c r="B28" s="3"/>
      <c r="C28" s="3" t="s">
        <v>297</v>
      </c>
      <c r="D28" s="4" t="s">
        <v>424</v>
      </c>
      <c r="E28" s="4" t="s">
        <v>424</v>
      </c>
      <c r="F28" s="16" t="s">
        <v>13</v>
      </c>
      <c r="G28" s="5" t="s">
        <v>13</v>
      </c>
      <c r="H28" s="5" t="s">
        <v>422</v>
      </c>
      <c r="I28" s="42" t="s">
        <v>425</v>
      </c>
      <c r="J28" s="7">
        <v>44026</v>
      </c>
      <c r="K28" s="7">
        <f t="shared" si="1"/>
        <v>45826</v>
      </c>
      <c r="L28" s="17" t="s">
        <v>99</v>
      </c>
      <c r="M28" s="13"/>
    </row>
    <row r="29" spans="1:13" s="14" customFormat="1" ht="18" customHeight="1" x14ac:dyDescent="0.2">
      <c r="A29" s="3" t="s">
        <v>815</v>
      </c>
      <c r="B29" s="3"/>
      <c r="C29" s="3" t="s">
        <v>531</v>
      </c>
      <c r="D29" s="4" t="s">
        <v>13</v>
      </c>
      <c r="E29" s="4" t="s">
        <v>13</v>
      </c>
      <c r="F29" s="16" t="s">
        <v>13</v>
      </c>
      <c r="G29" s="5" t="s">
        <v>13</v>
      </c>
      <c r="H29" s="5" t="s">
        <v>531</v>
      </c>
      <c r="I29" s="42" t="s">
        <v>816</v>
      </c>
      <c r="J29" s="7">
        <v>44508</v>
      </c>
      <c r="K29" s="7">
        <f t="shared" si="1"/>
        <v>46308</v>
      </c>
      <c r="L29" s="17" t="s">
        <v>99</v>
      </c>
      <c r="M29" s="13"/>
    </row>
    <row r="30" spans="1:13" s="14" customFormat="1" ht="18" customHeight="1" x14ac:dyDescent="0.2">
      <c r="A30" s="3" t="s">
        <v>529</v>
      </c>
      <c r="B30" s="3"/>
      <c r="C30" s="3" t="s">
        <v>531</v>
      </c>
      <c r="D30" s="4" t="s">
        <v>532</v>
      </c>
      <c r="E30" s="4" t="s">
        <v>532</v>
      </c>
      <c r="F30" s="16">
        <v>1911617</v>
      </c>
      <c r="G30" s="5" t="s">
        <v>13</v>
      </c>
      <c r="H30" s="5" t="s">
        <v>163</v>
      </c>
      <c r="I30" s="42">
        <v>2300722</v>
      </c>
      <c r="J30" s="7">
        <v>44949</v>
      </c>
      <c r="K30" s="7">
        <f t="shared" ref="K30:K36" si="2">J30+720</f>
        <v>45669</v>
      </c>
      <c r="L30" s="17" t="s">
        <v>1257</v>
      </c>
      <c r="M30" s="13"/>
    </row>
    <row r="31" spans="1:13" s="14" customFormat="1" ht="18" customHeight="1" x14ac:dyDescent="0.2">
      <c r="A31" s="3" t="s">
        <v>529</v>
      </c>
      <c r="B31" s="3"/>
      <c r="C31" s="3" t="s">
        <v>531</v>
      </c>
      <c r="D31" s="4" t="s">
        <v>533</v>
      </c>
      <c r="E31" s="4" t="s">
        <v>533</v>
      </c>
      <c r="F31" s="16">
        <v>1911717</v>
      </c>
      <c r="G31" s="5" t="s">
        <v>13</v>
      </c>
      <c r="H31" s="5" t="s">
        <v>422</v>
      </c>
      <c r="I31" s="6" t="s">
        <v>536</v>
      </c>
      <c r="J31" s="7">
        <v>44026</v>
      </c>
      <c r="K31" s="7">
        <f t="shared" si="2"/>
        <v>44746</v>
      </c>
      <c r="L31" s="17" t="s">
        <v>99</v>
      </c>
      <c r="M31" s="13"/>
    </row>
    <row r="32" spans="1:13" s="13" customFormat="1" ht="18" customHeight="1" x14ac:dyDescent="0.2">
      <c r="A32" s="3" t="s">
        <v>529</v>
      </c>
      <c r="B32" s="3"/>
      <c r="C32" s="3" t="s">
        <v>531</v>
      </c>
      <c r="D32" s="4" t="s">
        <v>534</v>
      </c>
      <c r="E32" s="4" t="s">
        <v>534</v>
      </c>
      <c r="F32" s="16">
        <v>1911817</v>
      </c>
      <c r="G32" s="5" t="s">
        <v>13</v>
      </c>
      <c r="H32" s="5" t="s">
        <v>422</v>
      </c>
      <c r="I32" s="6" t="s">
        <v>537</v>
      </c>
      <c r="J32" s="7">
        <v>44026</v>
      </c>
      <c r="K32" s="7">
        <f t="shared" si="2"/>
        <v>44746</v>
      </c>
      <c r="L32" s="17" t="s">
        <v>99</v>
      </c>
    </row>
    <row r="33" spans="1:13" s="13" customFormat="1" ht="18" customHeight="1" x14ac:dyDescent="0.2">
      <c r="A33" s="3" t="s">
        <v>529</v>
      </c>
      <c r="B33" s="3"/>
      <c r="C33" s="3" t="s">
        <v>531</v>
      </c>
      <c r="D33" s="4" t="s">
        <v>535</v>
      </c>
      <c r="E33" s="4" t="s">
        <v>535</v>
      </c>
      <c r="F33" s="16">
        <v>1912017</v>
      </c>
      <c r="G33" s="5" t="s">
        <v>13</v>
      </c>
      <c r="H33" s="5" t="s">
        <v>163</v>
      </c>
      <c r="I33" s="6">
        <v>2211561</v>
      </c>
      <c r="J33" s="7">
        <v>44711</v>
      </c>
      <c r="K33" s="7">
        <f t="shared" si="2"/>
        <v>45431</v>
      </c>
      <c r="L33" s="17" t="s">
        <v>99</v>
      </c>
    </row>
    <row r="34" spans="1:13" s="13" customFormat="1" ht="18" customHeight="1" x14ac:dyDescent="0.2">
      <c r="A34" s="3" t="s">
        <v>530</v>
      </c>
      <c r="B34" s="3"/>
      <c r="C34" s="3" t="s">
        <v>13</v>
      </c>
      <c r="D34" s="74">
        <v>1934</v>
      </c>
      <c r="E34" s="4">
        <v>1934</v>
      </c>
      <c r="F34" s="16" t="s">
        <v>13</v>
      </c>
      <c r="G34" s="5" t="s">
        <v>321</v>
      </c>
      <c r="H34" s="5" t="s">
        <v>163</v>
      </c>
      <c r="I34" s="42">
        <v>2415651</v>
      </c>
      <c r="J34" s="7">
        <v>45461</v>
      </c>
      <c r="K34" s="7">
        <f t="shared" si="2"/>
        <v>46181</v>
      </c>
      <c r="L34" s="17" t="s">
        <v>1257</v>
      </c>
    </row>
    <row r="35" spans="1:13" s="13" customFormat="1" ht="18" customHeight="1" x14ac:dyDescent="0.2">
      <c r="A35" s="3" t="s">
        <v>845</v>
      </c>
      <c r="B35" s="3"/>
      <c r="C35" s="3" t="s">
        <v>13</v>
      </c>
      <c r="D35" s="4" t="s">
        <v>706</v>
      </c>
      <c r="E35" s="4" t="s">
        <v>706</v>
      </c>
      <c r="F35" s="16" t="s">
        <v>13</v>
      </c>
      <c r="G35" s="5" t="s">
        <v>13</v>
      </c>
      <c r="H35" s="5" t="s">
        <v>707</v>
      </c>
      <c r="I35" s="6" t="s">
        <v>1060</v>
      </c>
      <c r="J35" s="7">
        <v>43709</v>
      </c>
      <c r="K35" s="7">
        <f t="shared" si="2"/>
        <v>44429</v>
      </c>
      <c r="L35" s="17" t="s">
        <v>99</v>
      </c>
    </row>
    <row r="36" spans="1:13" s="14" customFormat="1" ht="18" customHeight="1" x14ac:dyDescent="0.2">
      <c r="A36" s="3" t="s">
        <v>1064</v>
      </c>
      <c r="B36" s="3" t="s">
        <v>1117</v>
      </c>
      <c r="C36" s="3" t="s">
        <v>13</v>
      </c>
      <c r="D36" s="4" t="s">
        <v>1065</v>
      </c>
      <c r="E36" s="4" t="s">
        <v>1065</v>
      </c>
      <c r="F36" s="16" t="s">
        <v>13</v>
      </c>
      <c r="G36" s="5" t="s">
        <v>13</v>
      </c>
      <c r="H36" s="5" t="s">
        <v>707</v>
      </c>
      <c r="I36" s="6" t="s">
        <v>1066</v>
      </c>
      <c r="J36" s="7">
        <v>44272</v>
      </c>
      <c r="K36" s="7">
        <f t="shared" si="2"/>
        <v>44992</v>
      </c>
      <c r="L36" s="17" t="s">
        <v>99</v>
      </c>
      <c r="M36" s="13"/>
    </row>
    <row r="37" spans="1:13" s="14" customFormat="1" ht="18" customHeight="1" x14ac:dyDescent="0.2">
      <c r="A37" s="3" t="s">
        <v>542</v>
      </c>
      <c r="B37" s="3"/>
      <c r="C37" s="3" t="s">
        <v>13</v>
      </c>
      <c r="D37" s="4">
        <v>839</v>
      </c>
      <c r="E37" s="4">
        <v>839</v>
      </c>
      <c r="F37" s="16" t="s">
        <v>13</v>
      </c>
      <c r="G37" s="5" t="s">
        <v>13</v>
      </c>
      <c r="H37" s="5" t="s">
        <v>543</v>
      </c>
      <c r="I37" s="42" t="s">
        <v>13</v>
      </c>
      <c r="J37" s="7">
        <v>39590</v>
      </c>
      <c r="K37" s="7" t="s">
        <v>580</v>
      </c>
      <c r="L37" s="17" t="s">
        <v>1257</v>
      </c>
      <c r="M37" s="13"/>
    </row>
    <row r="38" spans="1:13" s="14" customFormat="1" ht="18" customHeight="1" x14ac:dyDescent="0.2">
      <c r="A38" s="3" t="s">
        <v>1258</v>
      </c>
      <c r="B38" s="3"/>
      <c r="C38" s="3"/>
      <c r="D38" s="4">
        <v>305</v>
      </c>
      <c r="E38" s="4">
        <v>305</v>
      </c>
      <c r="F38" s="16"/>
      <c r="G38" s="5"/>
      <c r="H38" s="5"/>
      <c r="I38" s="42"/>
      <c r="J38" s="7"/>
      <c r="K38" s="7"/>
      <c r="L38" s="17" t="s">
        <v>99</v>
      </c>
      <c r="M38" s="13"/>
    </row>
    <row r="39" spans="1:13" s="15" customFormat="1" ht="18" customHeight="1" x14ac:dyDescent="0.2">
      <c r="A39" s="3" t="s">
        <v>1258</v>
      </c>
      <c r="B39" s="3"/>
      <c r="C39" s="3"/>
      <c r="D39" s="4">
        <v>309</v>
      </c>
      <c r="E39" s="4">
        <v>309</v>
      </c>
      <c r="F39" s="16"/>
      <c r="G39" s="5"/>
      <c r="H39" s="5"/>
      <c r="I39" s="42"/>
      <c r="J39" s="7"/>
      <c r="K39" s="7"/>
      <c r="L39" s="17" t="s">
        <v>99</v>
      </c>
      <c r="M39" s="13"/>
    </row>
    <row r="40" spans="1:13" s="15" customFormat="1" ht="18" customHeight="1" x14ac:dyDescent="0.2">
      <c r="A40" s="3" t="s">
        <v>862</v>
      </c>
      <c r="B40" s="3"/>
      <c r="C40" s="3" t="s">
        <v>13</v>
      </c>
      <c r="D40" s="4" t="s">
        <v>92</v>
      </c>
      <c r="E40" s="4" t="s">
        <v>92</v>
      </c>
      <c r="F40" s="16" t="s">
        <v>13</v>
      </c>
      <c r="G40" s="5" t="s">
        <v>13</v>
      </c>
      <c r="H40" s="5" t="s">
        <v>857</v>
      </c>
      <c r="I40" s="42">
        <v>13103220218</v>
      </c>
      <c r="J40" s="7">
        <v>44610</v>
      </c>
      <c r="K40" s="7">
        <f>J40+1800</f>
        <v>46410</v>
      </c>
      <c r="L40" s="17" t="s">
        <v>99</v>
      </c>
      <c r="M40" s="13"/>
    </row>
    <row r="41" spans="1:13" s="13" customFormat="1" ht="18" customHeight="1" x14ac:dyDescent="0.2">
      <c r="A41" s="3" t="s">
        <v>1105</v>
      </c>
      <c r="B41" s="3" t="s">
        <v>1111</v>
      </c>
      <c r="C41" s="3" t="s">
        <v>1106</v>
      </c>
      <c r="D41" s="4">
        <v>89</v>
      </c>
      <c r="E41" s="4">
        <v>89</v>
      </c>
      <c r="F41" s="16" t="s">
        <v>1107</v>
      </c>
      <c r="G41" s="5" t="s">
        <v>1108</v>
      </c>
      <c r="H41" s="5" t="s">
        <v>1109</v>
      </c>
      <c r="I41" s="6" t="s">
        <v>1110</v>
      </c>
      <c r="J41" s="7">
        <v>44693</v>
      </c>
      <c r="K41" s="7">
        <f>J41+365</f>
        <v>45058</v>
      </c>
      <c r="L41" s="17" t="s">
        <v>99</v>
      </c>
    </row>
    <row r="42" spans="1:13" s="13" customFormat="1" ht="18" customHeight="1" x14ac:dyDescent="0.2">
      <c r="A42" s="3" t="s">
        <v>19</v>
      </c>
      <c r="B42" s="3" t="s">
        <v>1196</v>
      </c>
      <c r="C42" s="3" t="s">
        <v>17</v>
      </c>
      <c r="D42" s="4" t="s">
        <v>1197</v>
      </c>
      <c r="E42" s="4" t="s">
        <v>1197</v>
      </c>
      <c r="F42" s="16" t="s">
        <v>13</v>
      </c>
      <c r="G42" s="5" t="s">
        <v>1198</v>
      </c>
      <c r="H42" s="5" t="s">
        <v>163</v>
      </c>
      <c r="I42" s="42">
        <v>2306020</v>
      </c>
      <c r="J42" s="7">
        <v>44994</v>
      </c>
      <c r="K42" s="7">
        <f t="shared" ref="K42:K60" si="3">J42+720</f>
        <v>45714</v>
      </c>
      <c r="L42" s="17" t="s">
        <v>99</v>
      </c>
    </row>
    <row r="43" spans="1:13" s="15" customFormat="1" ht="18" customHeight="1" x14ac:dyDescent="0.2">
      <c r="A43" s="3" t="s">
        <v>19</v>
      </c>
      <c r="B43" s="3"/>
      <c r="C43" s="3" t="s">
        <v>17</v>
      </c>
      <c r="D43" s="4" t="s">
        <v>123</v>
      </c>
      <c r="E43" s="4" t="s">
        <v>123</v>
      </c>
      <c r="F43" s="16" t="s">
        <v>13</v>
      </c>
      <c r="G43" s="5" t="s">
        <v>13</v>
      </c>
      <c r="H43" s="5" t="s">
        <v>163</v>
      </c>
      <c r="I43" s="6">
        <v>2217129</v>
      </c>
      <c r="J43" s="7">
        <v>44777</v>
      </c>
      <c r="K43" s="7">
        <f t="shared" si="3"/>
        <v>45497</v>
      </c>
      <c r="L43" s="17" t="s">
        <v>99</v>
      </c>
      <c r="M43" s="13"/>
    </row>
    <row r="44" spans="1:13" s="13" customFormat="1" ht="18" customHeight="1" x14ac:dyDescent="0.2">
      <c r="A44" s="3" t="s">
        <v>19</v>
      </c>
      <c r="B44" s="3"/>
      <c r="C44" s="3"/>
      <c r="D44" s="74" t="s">
        <v>1259</v>
      </c>
      <c r="E44" s="4" t="s">
        <v>1259</v>
      </c>
      <c r="F44" s="16" t="s">
        <v>13</v>
      </c>
      <c r="G44" s="5" t="s">
        <v>1263</v>
      </c>
      <c r="H44" s="5" t="s">
        <v>163</v>
      </c>
      <c r="I44" s="42">
        <v>2415658</v>
      </c>
      <c r="J44" s="7">
        <v>45461</v>
      </c>
      <c r="K44" s="7">
        <f t="shared" si="3"/>
        <v>46181</v>
      </c>
      <c r="L44" s="17" t="s">
        <v>1257</v>
      </c>
    </row>
    <row r="45" spans="1:13" s="15" customFormat="1" ht="18" customHeight="1" x14ac:dyDescent="0.2">
      <c r="A45" s="65" t="s">
        <v>19</v>
      </c>
      <c r="B45" s="3" t="s">
        <v>1199</v>
      </c>
      <c r="C45" s="3" t="s">
        <v>17</v>
      </c>
      <c r="D45" s="4" t="s">
        <v>1200</v>
      </c>
      <c r="E45" s="4" t="s">
        <v>1200</v>
      </c>
      <c r="F45" s="16" t="s">
        <v>13</v>
      </c>
      <c r="G45" s="5" t="s">
        <v>1201</v>
      </c>
      <c r="H45" s="5" t="s">
        <v>163</v>
      </c>
      <c r="I45" s="42">
        <v>2305357</v>
      </c>
      <c r="J45" s="7">
        <v>44992</v>
      </c>
      <c r="K45" s="7">
        <f t="shared" si="3"/>
        <v>45712</v>
      </c>
      <c r="L45" s="17" t="s">
        <v>1257</v>
      </c>
      <c r="M45" s="13"/>
    </row>
    <row r="46" spans="1:13" s="15" customFormat="1" ht="18" customHeight="1" x14ac:dyDescent="0.2">
      <c r="A46" s="3" t="s">
        <v>19</v>
      </c>
      <c r="B46" s="3" t="s">
        <v>1578</v>
      </c>
      <c r="C46" s="3" t="s">
        <v>19</v>
      </c>
      <c r="D46" s="4" t="s">
        <v>18</v>
      </c>
      <c r="E46" s="4" t="s">
        <v>18</v>
      </c>
      <c r="F46" s="16" t="s">
        <v>13</v>
      </c>
      <c r="G46" s="5" t="s">
        <v>13</v>
      </c>
      <c r="H46" s="5" t="s">
        <v>163</v>
      </c>
      <c r="I46" s="42">
        <v>2517535</v>
      </c>
      <c r="J46" s="7">
        <v>45812</v>
      </c>
      <c r="K46" s="7">
        <f t="shared" si="3"/>
        <v>46532</v>
      </c>
      <c r="L46" s="17" t="s">
        <v>1548</v>
      </c>
      <c r="M46" s="13"/>
    </row>
    <row r="47" spans="1:13" s="15" customFormat="1" ht="18" customHeight="1" x14ac:dyDescent="0.2">
      <c r="A47" s="3" t="s">
        <v>337</v>
      </c>
      <c r="B47" s="3"/>
      <c r="C47" s="3" t="s">
        <v>17</v>
      </c>
      <c r="D47" s="4" t="s">
        <v>832</v>
      </c>
      <c r="E47" s="4" t="s">
        <v>832</v>
      </c>
      <c r="F47" s="16" t="s">
        <v>13</v>
      </c>
      <c r="G47" s="5" t="s">
        <v>13</v>
      </c>
      <c r="H47" s="5" t="s">
        <v>163</v>
      </c>
      <c r="I47" s="42">
        <v>2517536</v>
      </c>
      <c r="J47" s="7">
        <v>45812</v>
      </c>
      <c r="K47" s="7">
        <f t="shared" si="3"/>
        <v>46532</v>
      </c>
      <c r="L47" s="17" t="s">
        <v>1548</v>
      </c>
      <c r="M47" s="13"/>
    </row>
    <row r="48" spans="1:13" s="15" customFormat="1" ht="18" customHeight="1" x14ac:dyDescent="0.2">
      <c r="A48" s="3" t="s">
        <v>337</v>
      </c>
      <c r="B48" s="3" t="s">
        <v>1196</v>
      </c>
      <c r="C48" s="3" t="s">
        <v>17</v>
      </c>
      <c r="D48" s="4" t="s">
        <v>725</v>
      </c>
      <c r="E48" s="4">
        <v>40</v>
      </c>
      <c r="F48" s="16" t="s">
        <v>13</v>
      </c>
      <c r="G48" s="5" t="s">
        <v>58</v>
      </c>
      <c r="H48" s="5" t="s">
        <v>163</v>
      </c>
      <c r="I48" s="42">
        <v>2224242</v>
      </c>
      <c r="J48" s="7">
        <v>44858</v>
      </c>
      <c r="K48" s="7">
        <f t="shared" si="3"/>
        <v>45578</v>
      </c>
      <c r="L48" s="17" t="s">
        <v>99</v>
      </c>
      <c r="M48" s="13"/>
    </row>
    <row r="49" spans="1:13" s="15" customFormat="1" ht="18" customHeight="1" x14ac:dyDescent="0.2">
      <c r="A49" s="3" t="s">
        <v>337</v>
      </c>
      <c r="B49" s="3"/>
      <c r="C49" s="3" t="s">
        <v>17</v>
      </c>
      <c r="D49" s="4" t="s">
        <v>338</v>
      </c>
      <c r="E49" s="4" t="s">
        <v>338</v>
      </c>
      <c r="F49" s="16" t="s">
        <v>13</v>
      </c>
      <c r="G49" s="5" t="s">
        <v>13</v>
      </c>
      <c r="H49" s="5" t="s">
        <v>234</v>
      </c>
      <c r="I49" s="6">
        <v>2000033</v>
      </c>
      <c r="J49" s="7">
        <v>43857</v>
      </c>
      <c r="K49" s="7">
        <f t="shared" si="3"/>
        <v>44577</v>
      </c>
      <c r="L49" s="17" t="s">
        <v>99</v>
      </c>
      <c r="M49" s="13"/>
    </row>
    <row r="50" spans="1:13" s="14" customFormat="1" ht="18" customHeight="1" x14ac:dyDescent="0.2">
      <c r="A50" s="3" t="s">
        <v>56</v>
      </c>
      <c r="B50" s="3"/>
      <c r="C50" s="3" t="s">
        <v>17</v>
      </c>
      <c r="D50" s="4" t="s">
        <v>57</v>
      </c>
      <c r="E50" s="4" t="s">
        <v>57</v>
      </c>
      <c r="F50" s="16" t="s">
        <v>57</v>
      </c>
      <c r="G50" s="5" t="s">
        <v>58</v>
      </c>
      <c r="H50" s="5" t="s">
        <v>163</v>
      </c>
      <c r="I50" s="42">
        <v>2421858</v>
      </c>
      <c r="J50" s="7">
        <v>45496</v>
      </c>
      <c r="K50" s="7">
        <f t="shared" si="3"/>
        <v>46216</v>
      </c>
      <c r="L50" s="17" t="s">
        <v>1548</v>
      </c>
      <c r="M50" s="13"/>
    </row>
    <row r="51" spans="1:13" s="14" customFormat="1" ht="18" customHeight="1" x14ac:dyDescent="0.2">
      <c r="A51" s="65" t="s">
        <v>56</v>
      </c>
      <c r="B51" s="3"/>
      <c r="C51" s="3" t="s">
        <v>17</v>
      </c>
      <c r="D51" s="74" t="s">
        <v>597</v>
      </c>
      <c r="E51" s="4" t="s">
        <v>597</v>
      </c>
      <c r="F51" s="4" t="s">
        <v>13</v>
      </c>
      <c r="G51" s="5" t="s">
        <v>58</v>
      </c>
      <c r="H51" s="5" t="s">
        <v>163</v>
      </c>
      <c r="I51" s="42">
        <v>2415657</v>
      </c>
      <c r="J51" s="7">
        <v>45457</v>
      </c>
      <c r="K51" s="7">
        <f t="shared" si="3"/>
        <v>46177</v>
      </c>
      <c r="L51" s="17" t="s">
        <v>1257</v>
      </c>
      <c r="M51" s="13"/>
    </row>
    <row r="52" spans="1:13" s="14" customFormat="1" ht="18" customHeight="1" x14ac:dyDescent="0.2">
      <c r="A52" s="3" t="s">
        <v>56</v>
      </c>
      <c r="B52" s="3" t="s">
        <v>1196</v>
      </c>
      <c r="C52" s="3" t="s">
        <v>17</v>
      </c>
      <c r="D52" s="4" t="s">
        <v>177</v>
      </c>
      <c r="E52" s="4" t="s">
        <v>177</v>
      </c>
      <c r="F52" s="16" t="s">
        <v>13</v>
      </c>
      <c r="G52" s="5" t="s">
        <v>58</v>
      </c>
      <c r="H52" s="5" t="s">
        <v>163</v>
      </c>
      <c r="I52" s="42">
        <v>2306019</v>
      </c>
      <c r="J52" s="7">
        <v>44994</v>
      </c>
      <c r="K52" s="7">
        <f t="shared" si="3"/>
        <v>45714</v>
      </c>
      <c r="L52" s="17" t="s">
        <v>99</v>
      </c>
      <c r="M52" s="13"/>
    </row>
    <row r="53" spans="1:13" s="14" customFormat="1" ht="18" customHeight="1" x14ac:dyDescent="0.2">
      <c r="A53" s="3" t="s">
        <v>56</v>
      </c>
      <c r="B53" s="3" t="s">
        <v>1196</v>
      </c>
      <c r="C53" s="3" t="s">
        <v>17</v>
      </c>
      <c r="D53" s="4" t="s">
        <v>128</v>
      </c>
      <c r="E53" s="4" t="s">
        <v>128</v>
      </c>
      <c r="F53" s="56" t="s">
        <v>13</v>
      </c>
      <c r="G53" s="5" t="s">
        <v>58</v>
      </c>
      <c r="H53" s="5" t="s">
        <v>163</v>
      </c>
      <c r="I53" s="42">
        <v>2421861</v>
      </c>
      <c r="J53" s="7">
        <v>45496</v>
      </c>
      <c r="K53" s="7">
        <f t="shared" si="3"/>
        <v>46216</v>
      </c>
      <c r="L53" s="17" t="s">
        <v>99</v>
      </c>
      <c r="M53" s="13"/>
    </row>
    <row r="54" spans="1:13" s="15" customFormat="1" ht="18" customHeight="1" x14ac:dyDescent="0.2">
      <c r="A54" s="3" t="s">
        <v>56</v>
      </c>
      <c r="B54" s="3"/>
      <c r="C54" s="3" t="s">
        <v>17</v>
      </c>
      <c r="D54" s="74" t="s">
        <v>726</v>
      </c>
      <c r="E54" s="4" t="s">
        <v>726</v>
      </c>
      <c r="F54" s="16" t="s">
        <v>13</v>
      </c>
      <c r="G54" s="5" t="s">
        <v>58</v>
      </c>
      <c r="H54" s="5" t="s">
        <v>16</v>
      </c>
      <c r="I54" s="42">
        <v>2415656</v>
      </c>
      <c r="J54" s="7">
        <v>45457</v>
      </c>
      <c r="K54" s="7">
        <f t="shared" si="3"/>
        <v>46177</v>
      </c>
      <c r="L54" s="17" t="s">
        <v>1257</v>
      </c>
      <c r="M54" s="13"/>
    </row>
    <row r="55" spans="1:13" s="15" customFormat="1" ht="18" customHeight="1" x14ac:dyDescent="0.2">
      <c r="A55" s="3" t="s">
        <v>56</v>
      </c>
      <c r="B55" s="3" t="s">
        <v>1196</v>
      </c>
      <c r="C55" s="3" t="s">
        <v>17</v>
      </c>
      <c r="D55" s="4" t="s">
        <v>1300</v>
      </c>
      <c r="E55" s="4">
        <v>44</v>
      </c>
      <c r="F55" s="16" t="s">
        <v>13</v>
      </c>
      <c r="G55" s="16" t="s">
        <v>13</v>
      </c>
      <c r="H55" s="5" t="s">
        <v>163</v>
      </c>
      <c r="I55" s="42">
        <v>2421859</v>
      </c>
      <c r="J55" s="7">
        <v>45496</v>
      </c>
      <c r="K55" s="7">
        <f t="shared" si="3"/>
        <v>46216</v>
      </c>
      <c r="L55" s="17" t="s">
        <v>99</v>
      </c>
      <c r="M55" s="13"/>
    </row>
    <row r="56" spans="1:13" s="13" customFormat="1" ht="18" customHeight="1" x14ac:dyDescent="0.2">
      <c r="A56" s="3" t="s">
        <v>56</v>
      </c>
      <c r="B56" s="3" t="s">
        <v>1196</v>
      </c>
      <c r="C56" s="3" t="s">
        <v>1298</v>
      </c>
      <c r="D56" s="4" t="s">
        <v>1301</v>
      </c>
      <c r="E56" s="4">
        <v>46</v>
      </c>
      <c r="F56" s="4" t="s">
        <v>13</v>
      </c>
      <c r="G56" s="16" t="s">
        <v>1299</v>
      </c>
      <c r="H56" s="5" t="s">
        <v>163</v>
      </c>
      <c r="I56" s="42">
        <v>2421860</v>
      </c>
      <c r="J56" s="7">
        <v>45496</v>
      </c>
      <c r="K56" s="7">
        <f t="shared" si="3"/>
        <v>46216</v>
      </c>
      <c r="L56" s="17" t="s">
        <v>99</v>
      </c>
    </row>
    <row r="57" spans="1:13" s="14" customFormat="1" ht="18" customHeight="1" x14ac:dyDescent="0.2">
      <c r="A57" s="3" t="s">
        <v>56</v>
      </c>
      <c r="B57" s="3" t="s">
        <v>1196</v>
      </c>
      <c r="C57" s="3" t="s">
        <v>1298</v>
      </c>
      <c r="D57" s="74" t="s">
        <v>1302</v>
      </c>
      <c r="E57" s="4">
        <v>47</v>
      </c>
      <c r="F57" s="4" t="s">
        <v>13</v>
      </c>
      <c r="G57" s="16" t="s">
        <v>1299</v>
      </c>
      <c r="H57" s="5" t="s">
        <v>163</v>
      </c>
      <c r="I57" s="42">
        <v>2421862</v>
      </c>
      <c r="J57" s="7">
        <v>45496</v>
      </c>
      <c r="K57" s="7">
        <f t="shared" si="3"/>
        <v>46216</v>
      </c>
      <c r="L57" s="17" t="s">
        <v>1609</v>
      </c>
      <c r="M57" s="13"/>
    </row>
    <row r="58" spans="1:13" s="14" customFormat="1" ht="18" customHeight="1" x14ac:dyDescent="0.2">
      <c r="A58" s="3" t="s">
        <v>56</v>
      </c>
      <c r="B58" s="3" t="s">
        <v>1196</v>
      </c>
      <c r="C58" s="3" t="s">
        <v>1298</v>
      </c>
      <c r="D58" s="4" t="s">
        <v>1303</v>
      </c>
      <c r="E58" s="4">
        <v>48</v>
      </c>
      <c r="F58" s="4" t="s">
        <v>13</v>
      </c>
      <c r="G58" s="16" t="s">
        <v>1299</v>
      </c>
      <c r="H58" s="5" t="s">
        <v>163</v>
      </c>
      <c r="I58" s="42">
        <v>2421863</v>
      </c>
      <c r="J58" s="7">
        <v>45496</v>
      </c>
      <c r="K58" s="7">
        <f t="shared" si="3"/>
        <v>46216</v>
      </c>
      <c r="L58" s="17" t="s">
        <v>99</v>
      </c>
      <c r="M58" s="13"/>
    </row>
    <row r="59" spans="1:13" s="14" customFormat="1" ht="18" customHeight="1" x14ac:dyDescent="0.2">
      <c r="A59" s="3" t="s">
        <v>56</v>
      </c>
      <c r="B59" s="3"/>
      <c r="C59" s="3" t="s">
        <v>17</v>
      </c>
      <c r="D59" s="4" t="s">
        <v>1288</v>
      </c>
      <c r="E59" s="4">
        <v>43</v>
      </c>
      <c r="F59" s="16" t="s">
        <v>13</v>
      </c>
      <c r="G59" s="16" t="s">
        <v>13</v>
      </c>
      <c r="H59" s="5" t="s">
        <v>163</v>
      </c>
      <c r="I59" s="6">
        <v>2214748</v>
      </c>
      <c r="J59" s="7">
        <v>44743</v>
      </c>
      <c r="K59" s="7">
        <f t="shared" si="3"/>
        <v>45463</v>
      </c>
      <c r="L59" s="17" t="s">
        <v>99</v>
      </c>
      <c r="M59" s="13"/>
    </row>
    <row r="60" spans="1:13" s="14" customFormat="1" ht="18" customHeight="1" x14ac:dyDescent="0.2">
      <c r="A60" s="3" t="s">
        <v>56</v>
      </c>
      <c r="B60" s="3"/>
      <c r="C60" s="3" t="s">
        <v>17</v>
      </c>
      <c r="D60" s="4" t="s">
        <v>1289</v>
      </c>
      <c r="E60" s="4">
        <v>45</v>
      </c>
      <c r="F60" s="4" t="s">
        <v>13</v>
      </c>
      <c r="G60" s="16" t="s">
        <v>13</v>
      </c>
      <c r="H60" s="5" t="s">
        <v>163</v>
      </c>
      <c r="I60" s="6">
        <v>2214750</v>
      </c>
      <c r="J60" s="7">
        <v>44743</v>
      </c>
      <c r="K60" s="7">
        <f t="shared" si="3"/>
        <v>45463</v>
      </c>
      <c r="L60" s="17" t="s">
        <v>99</v>
      </c>
      <c r="M60" s="13"/>
    </row>
    <row r="61" spans="1:13" s="14" customFormat="1" ht="18" customHeight="1" x14ac:dyDescent="0.2">
      <c r="A61" s="3" t="s">
        <v>930</v>
      </c>
      <c r="B61" s="3"/>
      <c r="C61" s="3" t="s">
        <v>196</v>
      </c>
      <c r="D61" s="4" t="s">
        <v>197</v>
      </c>
      <c r="E61" s="4" t="s">
        <v>198</v>
      </c>
      <c r="F61" s="4" t="s">
        <v>13</v>
      </c>
      <c r="G61" s="5" t="s">
        <v>199</v>
      </c>
      <c r="H61" s="5" t="s">
        <v>16</v>
      </c>
      <c r="I61" s="6" t="s">
        <v>827</v>
      </c>
      <c r="J61" s="7">
        <v>44559</v>
      </c>
      <c r="K61" s="7">
        <f>J61+360</f>
        <v>44919</v>
      </c>
      <c r="L61" s="17" t="s">
        <v>99</v>
      </c>
      <c r="M61" s="13"/>
    </row>
    <row r="62" spans="1:13" s="15" customFormat="1" ht="18" customHeight="1" x14ac:dyDescent="0.2">
      <c r="A62" s="3" t="s">
        <v>581</v>
      </c>
      <c r="B62" s="3"/>
      <c r="C62" s="3" t="s">
        <v>13</v>
      </c>
      <c r="D62" s="4">
        <v>1370</v>
      </c>
      <c r="E62" s="4">
        <v>1370</v>
      </c>
      <c r="F62" s="16" t="s">
        <v>13</v>
      </c>
      <c r="G62" s="5" t="s">
        <v>13</v>
      </c>
      <c r="H62" s="5" t="s">
        <v>16</v>
      </c>
      <c r="I62" s="42" t="s">
        <v>826</v>
      </c>
      <c r="J62" s="7">
        <v>44523</v>
      </c>
      <c r="K62" s="7">
        <f>J62+1800</f>
        <v>46323</v>
      </c>
      <c r="L62" s="17" t="s">
        <v>99</v>
      </c>
      <c r="M62" s="13"/>
    </row>
    <row r="63" spans="1:13" s="15" customFormat="1" ht="18" customHeight="1" x14ac:dyDescent="0.2">
      <c r="A63" s="3" t="s">
        <v>581</v>
      </c>
      <c r="B63" s="3"/>
      <c r="C63" s="3" t="s">
        <v>44</v>
      </c>
      <c r="D63" s="4" t="s">
        <v>507</v>
      </c>
      <c r="E63" s="4" t="s">
        <v>507</v>
      </c>
      <c r="F63" s="16" t="s">
        <v>13</v>
      </c>
      <c r="G63" s="5" t="s">
        <v>13</v>
      </c>
      <c r="H63" s="5" t="s">
        <v>171</v>
      </c>
      <c r="I63" s="42">
        <v>2004563</v>
      </c>
      <c r="J63" s="7">
        <v>44057</v>
      </c>
      <c r="K63" s="7">
        <f>J63+1800</f>
        <v>45857</v>
      </c>
      <c r="L63" s="61" t="s">
        <v>99</v>
      </c>
      <c r="M63" s="13"/>
    </row>
    <row r="64" spans="1:13" s="15" customFormat="1" ht="18" customHeight="1" x14ac:dyDescent="0.2">
      <c r="A64" s="3" t="s">
        <v>581</v>
      </c>
      <c r="B64" s="3"/>
      <c r="C64" s="3" t="s">
        <v>865</v>
      </c>
      <c r="D64" s="4" t="s">
        <v>866</v>
      </c>
      <c r="E64" s="4" t="s">
        <v>866</v>
      </c>
      <c r="F64" s="16" t="s">
        <v>13</v>
      </c>
      <c r="G64" s="5" t="s">
        <v>13</v>
      </c>
      <c r="H64" s="5" t="s">
        <v>857</v>
      </c>
      <c r="I64" s="6">
        <v>8703220221</v>
      </c>
      <c r="J64" s="7">
        <v>44613</v>
      </c>
      <c r="K64" s="7">
        <v>44978</v>
      </c>
      <c r="L64" s="17" t="s">
        <v>99</v>
      </c>
      <c r="M64" s="13"/>
    </row>
    <row r="65" spans="1:13" s="15" customFormat="1" ht="18" customHeight="1" x14ac:dyDescent="0.2">
      <c r="A65" s="3" t="s">
        <v>581</v>
      </c>
      <c r="B65" s="3"/>
      <c r="C65" s="3" t="s">
        <v>865</v>
      </c>
      <c r="D65" s="4" t="s">
        <v>867</v>
      </c>
      <c r="E65" s="4" t="s">
        <v>867</v>
      </c>
      <c r="F65" s="16" t="s">
        <v>13</v>
      </c>
      <c r="G65" s="5" t="s">
        <v>13</v>
      </c>
      <c r="H65" s="5" t="s">
        <v>857</v>
      </c>
      <c r="I65" s="6">
        <v>8705220221</v>
      </c>
      <c r="J65" s="7">
        <v>44613</v>
      </c>
      <c r="K65" s="7">
        <v>44978</v>
      </c>
      <c r="L65" s="17" t="s">
        <v>99</v>
      </c>
      <c r="M65" s="13"/>
    </row>
    <row r="66" spans="1:13" s="15" customFormat="1" ht="18" customHeight="1" x14ac:dyDescent="0.2">
      <c r="A66" s="3" t="s">
        <v>581</v>
      </c>
      <c r="B66" s="3"/>
      <c r="C66" s="3" t="s">
        <v>865</v>
      </c>
      <c r="D66" s="4" t="s">
        <v>868</v>
      </c>
      <c r="E66" s="4" t="s">
        <v>868</v>
      </c>
      <c r="F66" s="16" t="s">
        <v>13</v>
      </c>
      <c r="G66" s="5" t="s">
        <v>13</v>
      </c>
      <c r="H66" s="5" t="s">
        <v>857</v>
      </c>
      <c r="I66" s="6">
        <v>8704220221</v>
      </c>
      <c r="J66" s="7">
        <v>44613</v>
      </c>
      <c r="K66" s="7">
        <v>44978</v>
      </c>
      <c r="L66" s="5" t="s">
        <v>99</v>
      </c>
      <c r="M66" s="13"/>
    </row>
    <row r="67" spans="1:13" s="15" customFormat="1" ht="18" customHeight="1" x14ac:dyDescent="0.2">
      <c r="A67" s="3" t="s">
        <v>116</v>
      </c>
      <c r="B67" s="3"/>
      <c r="C67" s="3" t="s">
        <v>125</v>
      </c>
      <c r="D67" s="4" t="s">
        <v>126</v>
      </c>
      <c r="E67" s="4" t="s">
        <v>126</v>
      </c>
      <c r="F67" s="16" t="s">
        <v>13</v>
      </c>
      <c r="G67" s="5" t="s">
        <v>127</v>
      </c>
      <c r="H67" s="5" t="s">
        <v>67</v>
      </c>
      <c r="I67" s="6">
        <v>1800610</v>
      </c>
      <c r="J67" s="7">
        <v>43138</v>
      </c>
      <c r="K67" s="7">
        <f>J67+720</f>
        <v>43858</v>
      </c>
      <c r="L67" s="17" t="s">
        <v>99</v>
      </c>
      <c r="M67" s="13"/>
    </row>
    <row r="68" spans="1:13" s="15" customFormat="1" ht="18" customHeight="1" x14ac:dyDescent="0.2">
      <c r="A68" s="3" t="s">
        <v>116</v>
      </c>
      <c r="B68" s="3"/>
      <c r="C68" s="3" t="s">
        <v>117</v>
      </c>
      <c r="D68" s="4" t="s">
        <v>118</v>
      </c>
      <c r="E68" s="4" t="s">
        <v>118</v>
      </c>
      <c r="F68" s="16">
        <v>14201101</v>
      </c>
      <c r="G68" s="5" t="s">
        <v>119</v>
      </c>
      <c r="H68" s="5" t="s">
        <v>67</v>
      </c>
      <c r="I68" s="6">
        <v>1800611</v>
      </c>
      <c r="J68" s="7">
        <v>43138</v>
      </c>
      <c r="K68" s="7">
        <f>J68+720</f>
        <v>43858</v>
      </c>
      <c r="L68" s="17" t="s">
        <v>99</v>
      </c>
      <c r="M68" s="13"/>
    </row>
    <row r="69" spans="1:13" s="13" customFormat="1" ht="18" customHeight="1" x14ac:dyDescent="0.2">
      <c r="A69" s="3" t="s">
        <v>94</v>
      </c>
      <c r="B69" s="3"/>
      <c r="C69" s="3" t="s">
        <v>13</v>
      </c>
      <c r="D69" s="4">
        <v>600</v>
      </c>
      <c r="E69" s="4">
        <v>600</v>
      </c>
      <c r="F69" s="16" t="s">
        <v>523</v>
      </c>
      <c r="G69" s="5" t="s">
        <v>13</v>
      </c>
      <c r="H69" s="5" t="s">
        <v>167</v>
      </c>
      <c r="I69" s="6" t="s">
        <v>1458</v>
      </c>
      <c r="J69" s="7">
        <v>45736</v>
      </c>
      <c r="K69" s="7">
        <f t="shared" ref="K69:K91" si="4">J69+365</f>
        <v>46101</v>
      </c>
      <c r="L69" s="17" t="s">
        <v>1257</v>
      </c>
    </row>
    <row r="70" spans="1:13" s="13" customFormat="1" ht="18" customHeight="1" x14ac:dyDescent="0.2">
      <c r="A70" s="3" t="s">
        <v>94</v>
      </c>
      <c r="B70" s="3"/>
      <c r="C70" s="3" t="s">
        <v>95</v>
      </c>
      <c r="D70" s="4">
        <v>1865</v>
      </c>
      <c r="E70" s="4">
        <v>1865</v>
      </c>
      <c r="F70" s="16" t="s">
        <v>13</v>
      </c>
      <c r="G70" s="5" t="s">
        <v>895</v>
      </c>
      <c r="H70" s="5" t="s">
        <v>310</v>
      </c>
      <c r="I70" s="6" t="s">
        <v>897</v>
      </c>
      <c r="J70" s="7">
        <v>44734</v>
      </c>
      <c r="K70" s="7">
        <f t="shared" si="4"/>
        <v>45099</v>
      </c>
      <c r="L70" s="17" t="s">
        <v>99</v>
      </c>
    </row>
    <row r="71" spans="1:13" s="15" customFormat="1" ht="18" customHeight="1" x14ac:dyDescent="0.2">
      <c r="A71" s="3" t="s">
        <v>94</v>
      </c>
      <c r="B71" s="3"/>
      <c r="C71" s="3" t="s">
        <v>95</v>
      </c>
      <c r="D71" s="4">
        <v>1866</v>
      </c>
      <c r="E71" s="4">
        <v>1866</v>
      </c>
      <c r="F71" s="16" t="s">
        <v>13</v>
      </c>
      <c r="G71" s="5" t="s">
        <v>895</v>
      </c>
      <c r="H71" s="5" t="s">
        <v>310</v>
      </c>
      <c r="I71" s="6" t="s">
        <v>896</v>
      </c>
      <c r="J71" s="7">
        <v>44734</v>
      </c>
      <c r="K71" s="7">
        <f t="shared" si="4"/>
        <v>45099</v>
      </c>
      <c r="L71" s="17" t="s">
        <v>99</v>
      </c>
      <c r="M71" s="13"/>
    </row>
    <row r="72" spans="1:13" s="15" customFormat="1" ht="18" customHeight="1" x14ac:dyDescent="0.2">
      <c r="A72" s="3" t="s">
        <v>94</v>
      </c>
      <c r="B72" s="3"/>
      <c r="C72" s="3" t="s">
        <v>156</v>
      </c>
      <c r="D72" s="4">
        <v>1916</v>
      </c>
      <c r="E72" s="4">
        <v>1916</v>
      </c>
      <c r="F72" s="16" t="s">
        <v>157</v>
      </c>
      <c r="G72" s="5" t="s">
        <v>166</v>
      </c>
      <c r="H72" s="5" t="s">
        <v>167</v>
      </c>
      <c r="I72" s="6" t="s">
        <v>292</v>
      </c>
      <c r="J72" s="7">
        <v>43635</v>
      </c>
      <c r="K72" s="7">
        <f t="shared" si="4"/>
        <v>44000</v>
      </c>
      <c r="L72" s="17" t="s">
        <v>99</v>
      </c>
      <c r="M72" s="13"/>
    </row>
    <row r="73" spans="1:13" s="15" customFormat="1" ht="18" customHeight="1" x14ac:dyDescent="0.2">
      <c r="A73" s="3" t="s">
        <v>94</v>
      </c>
      <c r="B73" s="3"/>
      <c r="C73" s="3" t="s">
        <v>95</v>
      </c>
      <c r="D73" s="4">
        <v>1969</v>
      </c>
      <c r="E73" s="4">
        <v>1969</v>
      </c>
      <c r="F73" s="16" t="s">
        <v>348</v>
      </c>
      <c r="G73" s="5" t="s">
        <v>309</v>
      </c>
      <c r="H73" s="5" t="s">
        <v>310</v>
      </c>
      <c r="I73" s="6" t="s">
        <v>734</v>
      </c>
      <c r="J73" s="7">
        <v>44398</v>
      </c>
      <c r="K73" s="7">
        <f t="shared" si="4"/>
        <v>44763</v>
      </c>
      <c r="L73" s="17" t="s">
        <v>99</v>
      </c>
      <c r="M73" s="13"/>
    </row>
    <row r="74" spans="1:13" s="15" customFormat="1" ht="18" customHeight="1" x14ac:dyDescent="0.2">
      <c r="A74" s="3" t="s">
        <v>94</v>
      </c>
      <c r="B74" s="3"/>
      <c r="C74" s="3" t="s">
        <v>95</v>
      </c>
      <c r="D74" s="4">
        <v>1970</v>
      </c>
      <c r="E74" s="4">
        <v>1970</v>
      </c>
      <c r="F74" s="16" t="s">
        <v>347</v>
      </c>
      <c r="G74" s="5" t="s">
        <v>309</v>
      </c>
      <c r="H74" s="5" t="s">
        <v>310</v>
      </c>
      <c r="I74" s="6" t="s">
        <v>733</v>
      </c>
      <c r="J74" s="7">
        <v>44398</v>
      </c>
      <c r="K74" s="7">
        <f t="shared" si="4"/>
        <v>44763</v>
      </c>
      <c r="L74" s="17" t="s">
        <v>99</v>
      </c>
      <c r="M74" s="13"/>
    </row>
    <row r="75" spans="1:13" s="13" customFormat="1" ht="18" customHeight="1" x14ac:dyDescent="0.2">
      <c r="A75" s="3" t="s">
        <v>94</v>
      </c>
      <c r="B75" s="3"/>
      <c r="C75" s="3" t="s">
        <v>95</v>
      </c>
      <c r="D75" s="4">
        <v>1977</v>
      </c>
      <c r="E75" s="4">
        <v>1977</v>
      </c>
      <c r="F75" s="16">
        <v>1749776</v>
      </c>
      <c r="G75" s="5" t="s">
        <v>376</v>
      </c>
      <c r="H75" s="5" t="s">
        <v>310</v>
      </c>
      <c r="I75" s="6" t="s">
        <v>1225</v>
      </c>
      <c r="J75" s="7">
        <v>45009</v>
      </c>
      <c r="K75" s="7">
        <f t="shared" si="4"/>
        <v>45374</v>
      </c>
      <c r="L75" s="17" t="s">
        <v>99</v>
      </c>
    </row>
    <row r="76" spans="1:13" s="13" customFormat="1" ht="18" customHeight="1" x14ac:dyDescent="0.2">
      <c r="A76" s="3" t="s">
        <v>94</v>
      </c>
      <c r="B76" s="3"/>
      <c r="C76" s="3" t="s">
        <v>95</v>
      </c>
      <c r="D76" s="4">
        <v>1978</v>
      </c>
      <c r="E76" s="4">
        <v>1978</v>
      </c>
      <c r="F76" s="16">
        <v>1749774</v>
      </c>
      <c r="G76" s="5" t="s">
        <v>376</v>
      </c>
      <c r="H76" s="5" t="s">
        <v>310</v>
      </c>
      <c r="I76" s="42" t="s">
        <v>1364</v>
      </c>
      <c r="J76" s="7">
        <v>45583</v>
      </c>
      <c r="K76" s="7">
        <f t="shared" si="4"/>
        <v>45948</v>
      </c>
      <c r="L76" s="17" t="s">
        <v>99</v>
      </c>
    </row>
    <row r="77" spans="1:13" s="13" customFormat="1" ht="18" customHeight="1" x14ac:dyDescent="0.2">
      <c r="A77" s="3" t="s">
        <v>94</v>
      </c>
      <c r="B77" s="3"/>
      <c r="C77" s="3" t="s">
        <v>95</v>
      </c>
      <c r="D77" s="4">
        <v>1980</v>
      </c>
      <c r="E77" s="4">
        <v>1980</v>
      </c>
      <c r="F77" s="16">
        <v>1749779</v>
      </c>
      <c r="G77" s="5" t="s">
        <v>376</v>
      </c>
      <c r="H77" s="5" t="s">
        <v>310</v>
      </c>
      <c r="I77" s="6" t="s">
        <v>377</v>
      </c>
      <c r="J77" s="7">
        <v>44006</v>
      </c>
      <c r="K77" s="7">
        <f t="shared" si="4"/>
        <v>44371</v>
      </c>
      <c r="L77" s="17" t="s">
        <v>99</v>
      </c>
    </row>
    <row r="78" spans="1:13" s="14" customFormat="1" ht="18" customHeight="1" x14ac:dyDescent="0.2">
      <c r="A78" s="3" t="s">
        <v>94</v>
      </c>
      <c r="B78" s="3"/>
      <c r="C78" s="3" t="s">
        <v>95</v>
      </c>
      <c r="D78" s="4">
        <v>1981</v>
      </c>
      <c r="E78" s="4">
        <v>1981</v>
      </c>
      <c r="F78" s="16">
        <v>1749775</v>
      </c>
      <c r="G78" s="5" t="s">
        <v>376</v>
      </c>
      <c r="H78" s="5" t="s">
        <v>310</v>
      </c>
      <c r="I78" s="6" t="s">
        <v>378</v>
      </c>
      <c r="J78" s="7">
        <v>44006</v>
      </c>
      <c r="K78" s="7">
        <f t="shared" si="4"/>
        <v>44371</v>
      </c>
      <c r="L78" s="17" t="s">
        <v>99</v>
      </c>
      <c r="M78" s="13"/>
    </row>
    <row r="79" spans="1:13" s="14" customFormat="1" ht="18" customHeight="1" x14ac:dyDescent="0.2">
      <c r="A79" s="3" t="s">
        <v>94</v>
      </c>
      <c r="B79" s="3"/>
      <c r="C79" s="3" t="s">
        <v>95</v>
      </c>
      <c r="D79" s="4">
        <v>1982</v>
      </c>
      <c r="E79" s="4">
        <v>1982</v>
      </c>
      <c r="F79" s="16">
        <v>1749778</v>
      </c>
      <c r="G79" s="5" t="s">
        <v>376</v>
      </c>
      <c r="H79" s="5" t="s">
        <v>310</v>
      </c>
      <c r="I79" s="6" t="s">
        <v>1112</v>
      </c>
      <c r="J79" s="7">
        <v>44861</v>
      </c>
      <c r="K79" s="7">
        <f t="shared" si="4"/>
        <v>45226</v>
      </c>
      <c r="L79" s="17" t="s">
        <v>99</v>
      </c>
      <c r="M79" s="13"/>
    </row>
    <row r="80" spans="1:13" s="13" customFormat="1" ht="18" customHeight="1" x14ac:dyDescent="0.2">
      <c r="A80" s="3" t="s">
        <v>94</v>
      </c>
      <c r="B80" s="3"/>
      <c r="C80" s="3" t="s">
        <v>95</v>
      </c>
      <c r="D80" s="4">
        <v>1983</v>
      </c>
      <c r="E80" s="4">
        <v>1983</v>
      </c>
      <c r="F80" s="16">
        <v>1749773</v>
      </c>
      <c r="G80" s="5" t="s">
        <v>376</v>
      </c>
      <c r="H80" s="5" t="s">
        <v>310</v>
      </c>
      <c r="I80" s="6" t="s">
        <v>379</v>
      </c>
      <c r="J80" s="7">
        <v>44006</v>
      </c>
      <c r="K80" s="7">
        <f t="shared" si="4"/>
        <v>44371</v>
      </c>
      <c r="L80" s="17" t="s">
        <v>99</v>
      </c>
    </row>
    <row r="81" spans="1:13" s="15" customFormat="1" ht="18" customHeight="1" x14ac:dyDescent="0.2">
      <c r="A81" s="3" t="s">
        <v>94</v>
      </c>
      <c r="B81" s="3"/>
      <c r="C81" s="3" t="s">
        <v>95</v>
      </c>
      <c r="D81" s="4">
        <v>1984</v>
      </c>
      <c r="E81" s="4">
        <v>1984</v>
      </c>
      <c r="F81" s="16">
        <v>1749777</v>
      </c>
      <c r="G81" s="5" t="s">
        <v>376</v>
      </c>
      <c r="H81" s="5" t="s">
        <v>310</v>
      </c>
      <c r="I81" s="6" t="s">
        <v>380</v>
      </c>
      <c r="J81" s="7">
        <v>44006</v>
      </c>
      <c r="K81" s="7">
        <f t="shared" si="4"/>
        <v>44371</v>
      </c>
      <c r="L81" s="17" t="s">
        <v>99</v>
      </c>
      <c r="M81" s="13"/>
    </row>
    <row r="82" spans="1:13" s="15" customFormat="1" ht="18" customHeight="1" x14ac:dyDescent="0.2">
      <c r="A82" s="3" t="s">
        <v>94</v>
      </c>
      <c r="B82" s="3"/>
      <c r="C82" s="3" t="s">
        <v>95</v>
      </c>
      <c r="D82" s="74">
        <v>1985</v>
      </c>
      <c r="E82" s="4">
        <v>1985</v>
      </c>
      <c r="F82" s="16">
        <v>1749780</v>
      </c>
      <c r="G82" s="5" t="s">
        <v>376</v>
      </c>
      <c r="H82" s="5" t="s">
        <v>310</v>
      </c>
      <c r="I82" s="42" t="s">
        <v>1357</v>
      </c>
      <c r="J82" s="7">
        <v>45509</v>
      </c>
      <c r="K82" s="7">
        <f t="shared" si="4"/>
        <v>45874</v>
      </c>
      <c r="L82" s="17" t="s">
        <v>1257</v>
      </c>
      <c r="M82" s="13"/>
    </row>
    <row r="83" spans="1:13" s="13" customFormat="1" ht="18" customHeight="1" x14ac:dyDescent="0.2">
      <c r="A83" s="3" t="s">
        <v>94</v>
      </c>
      <c r="B83" s="3"/>
      <c r="C83" s="3" t="s">
        <v>8</v>
      </c>
      <c r="D83" s="4">
        <v>2003</v>
      </c>
      <c r="E83" s="4">
        <v>2003</v>
      </c>
      <c r="F83" s="16">
        <v>1927288</v>
      </c>
      <c r="G83" s="5" t="s">
        <v>376</v>
      </c>
      <c r="H83" s="5" t="s">
        <v>310</v>
      </c>
      <c r="I83" s="6" t="s">
        <v>1113</v>
      </c>
      <c r="J83" s="7">
        <v>44861</v>
      </c>
      <c r="K83" s="7">
        <f t="shared" si="4"/>
        <v>45226</v>
      </c>
      <c r="L83" s="17" t="s">
        <v>99</v>
      </c>
    </row>
    <row r="84" spans="1:13" s="13" customFormat="1" ht="18" customHeight="1" x14ac:dyDescent="0.2">
      <c r="A84" s="3" t="s">
        <v>937</v>
      </c>
      <c r="B84" s="3"/>
      <c r="C84" s="3" t="s">
        <v>8</v>
      </c>
      <c r="D84" s="4">
        <v>2002</v>
      </c>
      <c r="E84" s="4">
        <v>2002</v>
      </c>
      <c r="F84" s="16">
        <v>1927287</v>
      </c>
      <c r="G84" s="5" t="s">
        <v>376</v>
      </c>
      <c r="H84" s="5" t="s">
        <v>310</v>
      </c>
      <c r="I84" s="42" t="s">
        <v>1365</v>
      </c>
      <c r="J84" s="7">
        <v>45511</v>
      </c>
      <c r="K84" s="7">
        <f t="shared" si="4"/>
        <v>45876</v>
      </c>
      <c r="L84" s="17" t="s">
        <v>99</v>
      </c>
    </row>
    <row r="85" spans="1:13" s="14" customFormat="1" ht="18" customHeight="1" x14ac:dyDescent="0.2">
      <c r="A85" s="3" t="s">
        <v>937</v>
      </c>
      <c r="B85" s="3"/>
      <c r="C85" s="3" t="s">
        <v>8</v>
      </c>
      <c r="D85" s="4">
        <v>2041</v>
      </c>
      <c r="E85" s="4">
        <v>2041</v>
      </c>
      <c r="F85" s="16">
        <v>1749762</v>
      </c>
      <c r="G85" s="5" t="s">
        <v>376</v>
      </c>
      <c r="H85" s="5" t="s">
        <v>310</v>
      </c>
      <c r="I85" s="6" t="s">
        <v>1224</v>
      </c>
      <c r="J85" s="7">
        <v>45009</v>
      </c>
      <c r="K85" s="7">
        <f t="shared" si="4"/>
        <v>45374</v>
      </c>
      <c r="L85" s="17" t="s">
        <v>99</v>
      </c>
      <c r="M85" s="13"/>
    </row>
    <row r="86" spans="1:13" s="13" customFormat="1" ht="18" customHeight="1" x14ac:dyDescent="0.2">
      <c r="A86" s="3" t="s">
        <v>937</v>
      </c>
      <c r="B86" s="3"/>
      <c r="C86" s="3" t="s">
        <v>8</v>
      </c>
      <c r="D86" s="76">
        <v>1749771</v>
      </c>
      <c r="E86" s="16">
        <v>1749771</v>
      </c>
      <c r="F86" s="16">
        <v>1749771</v>
      </c>
      <c r="G86" s="5" t="s">
        <v>376</v>
      </c>
      <c r="H86" s="5" t="s">
        <v>310</v>
      </c>
      <c r="I86" s="42" t="s">
        <v>1460</v>
      </c>
      <c r="J86" s="7">
        <v>45511</v>
      </c>
      <c r="K86" s="7">
        <f t="shared" si="4"/>
        <v>45876</v>
      </c>
      <c r="L86" s="17" t="s">
        <v>1257</v>
      </c>
    </row>
    <row r="87" spans="1:13" s="13" customFormat="1" ht="18" customHeight="1" x14ac:dyDescent="0.2">
      <c r="A87" s="3" t="s">
        <v>524</v>
      </c>
      <c r="B87" s="3"/>
      <c r="C87" s="3" t="s">
        <v>13</v>
      </c>
      <c r="D87" s="4">
        <v>1937</v>
      </c>
      <c r="E87" s="4">
        <v>1937</v>
      </c>
      <c r="F87" s="16" t="s">
        <v>200</v>
      </c>
      <c r="G87" s="5" t="s">
        <v>13</v>
      </c>
      <c r="H87" s="5" t="s">
        <v>167</v>
      </c>
      <c r="I87" s="6" t="s">
        <v>1457</v>
      </c>
      <c r="J87" s="7">
        <v>45736</v>
      </c>
      <c r="K87" s="7">
        <f t="shared" si="4"/>
        <v>46101</v>
      </c>
      <c r="L87" s="17" t="s">
        <v>99</v>
      </c>
    </row>
    <row r="88" spans="1:13" s="15" customFormat="1" ht="18" customHeight="1" x14ac:dyDescent="0.2">
      <c r="A88" s="3" t="s">
        <v>524</v>
      </c>
      <c r="B88" s="3"/>
      <c r="C88" s="3"/>
      <c r="D88" s="4">
        <v>2099</v>
      </c>
      <c r="E88" s="4">
        <v>2099</v>
      </c>
      <c r="F88" s="16" t="s">
        <v>1185</v>
      </c>
      <c r="G88" s="5" t="s">
        <v>13</v>
      </c>
      <c r="H88" s="5" t="s">
        <v>167</v>
      </c>
      <c r="I88" s="6" t="s">
        <v>1459</v>
      </c>
      <c r="J88" s="7">
        <v>45736</v>
      </c>
      <c r="K88" s="7">
        <f t="shared" si="4"/>
        <v>46101</v>
      </c>
      <c r="L88" s="17" t="s">
        <v>99</v>
      </c>
      <c r="M88" s="13"/>
    </row>
    <row r="89" spans="1:13" s="15" customFormat="1" ht="18" customHeight="1" x14ac:dyDescent="0.2">
      <c r="A89" s="3" t="s">
        <v>524</v>
      </c>
      <c r="B89" s="3"/>
      <c r="C89" s="3"/>
      <c r="D89" s="74">
        <v>2100</v>
      </c>
      <c r="E89" s="4">
        <v>2100</v>
      </c>
      <c r="F89" s="16" t="s">
        <v>1184</v>
      </c>
      <c r="G89" s="5" t="s">
        <v>13</v>
      </c>
      <c r="H89" s="5" t="s">
        <v>167</v>
      </c>
      <c r="I89" s="42" t="s">
        <v>1453</v>
      </c>
      <c r="J89" s="7">
        <v>45583</v>
      </c>
      <c r="K89" s="7">
        <f t="shared" si="4"/>
        <v>45948</v>
      </c>
      <c r="L89" s="17" t="s">
        <v>1257</v>
      </c>
      <c r="M89" s="13"/>
    </row>
    <row r="90" spans="1:13" s="13" customFormat="1" ht="18" customHeight="1" x14ac:dyDescent="0.2">
      <c r="A90" s="3" t="s">
        <v>817</v>
      </c>
      <c r="B90" s="3"/>
      <c r="C90" s="3" t="s">
        <v>818</v>
      </c>
      <c r="D90" s="4">
        <v>2045</v>
      </c>
      <c r="E90" s="4">
        <v>2045</v>
      </c>
      <c r="F90" s="16">
        <v>977721</v>
      </c>
      <c r="G90" s="5" t="s">
        <v>819</v>
      </c>
      <c r="H90" s="5" t="s">
        <v>184</v>
      </c>
      <c r="I90" s="6" t="s">
        <v>820</v>
      </c>
      <c r="J90" s="7">
        <v>44519</v>
      </c>
      <c r="K90" s="7">
        <f t="shared" si="4"/>
        <v>44884</v>
      </c>
      <c r="L90" s="17" t="s">
        <v>99</v>
      </c>
    </row>
    <row r="91" spans="1:13" s="13" customFormat="1" ht="18" customHeight="1" x14ac:dyDescent="0.2">
      <c r="A91" s="3" t="s">
        <v>817</v>
      </c>
      <c r="B91" s="3"/>
      <c r="C91" s="3" t="s">
        <v>818</v>
      </c>
      <c r="D91" s="74">
        <v>2046</v>
      </c>
      <c r="E91" s="4">
        <v>2046</v>
      </c>
      <c r="F91" s="16">
        <v>977753</v>
      </c>
      <c r="G91" s="5" t="s">
        <v>819</v>
      </c>
      <c r="H91" s="5" t="s">
        <v>163</v>
      </c>
      <c r="I91" s="42">
        <v>2415696</v>
      </c>
      <c r="J91" s="7">
        <v>45462</v>
      </c>
      <c r="K91" s="7">
        <f t="shared" si="4"/>
        <v>45827</v>
      </c>
      <c r="L91" s="17" t="s">
        <v>1257</v>
      </c>
    </row>
    <row r="92" spans="1:13" s="13" customFormat="1" ht="18" customHeight="1" x14ac:dyDescent="0.2">
      <c r="A92" s="3" t="s">
        <v>324</v>
      </c>
      <c r="B92" s="3"/>
      <c r="C92" s="3" t="s">
        <v>312</v>
      </c>
      <c r="D92" s="74">
        <v>1822</v>
      </c>
      <c r="E92" s="4">
        <v>1822</v>
      </c>
      <c r="F92" s="16">
        <v>8372</v>
      </c>
      <c r="G92" s="5" t="s">
        <v>374</v>
      </c>
      <c r="H92" s="5" t="s">
        <v>163</v>
      </c>
      <c r="I92" s="42">
        <v>2415655</v>
      </c>
      <c r="J92" s="7">
        <v>45464</v>
      </c>
      <c r="K92" s="7">
        <f>J92+1080</f>
        <v>46544</v>
      </c>
      <c r="L92" s="17" t="s">
        <v>1257</v>
      </c>
    </row>
    <row r="93" spans="1:13" s="13" customFormat="1" ht="18" customHeight="1" x14ac:dyDescent="0.2">
      <c r="A93" s="3" t="s">
        <v>324</v>
      </c>
      <c r="B93" s="3"/>
      <c r="C93" s="3" t="s">
        <v>325</v>
      </c>
      <c r="D93" s="4">
        <v>1826</v>
      </c>
      <c r="E93" s="4">
        <v>1826</v>
      </c>
      <c r="F93" s="16" t="s">
        <v>103</v>
      </c>
      <c r="G93" s="5" t="s">
        <v>326</v>
      </c>
      <c r="H93" s="5" t="s">
        <v>234</v>
      </c>
      <c r="I93" s="6">
        <v>1907709</v>
      </c>
      <c r="J93" s="7">
        <v>43817</v>
      </c>
      <c r="K93" s="7">
        <f>J93+1080</f>
        <v>44897</v>
      </c>
      <c r="L93" s="17" t="s">
        <v>99</v>
      </c>
    </row>
    <row r="94" spans="1:13" s="15" customFormat="1" ht="18" customHeight="1" x14ac:dyDescent="0.2">
      <c r="A94" s="3" t="s">
        <v>837</v>
      </c>
      <c r="B94" s="3"/>
      <c r="C94" s="3" t="s">
        <v>312</v>
      </c>
      <c r="D94" s="4">
        <v>1823</v>
      </c>
      <c r="E94" s="4">
        <v>1823</v>
      </c>
      <c r="F94" s="16">
        <v>8403</v>
      </c>
      <c r="G94" s="5" t="s">
        <v>374</v>
      </c>
      <c r="H94" s="5" t="s">
        <v>16</v>
      </c>
      <c r="I94" s="42" t="s">
        <v>838</v>
      </c>
      <c r="J94" s="7">
        <v>44579</v>
      </c>
      <c r="K94" s="7">
        <f>J94+1080</f>
        <v>45659</v>
      </c>
      <c r="L94" s="17" t="s">
        <v>99</v>
      </c>
      <c r="M94" s="13"/>
    </row>
    <row r="95" spans="1:13" s="15" customFormat="1" ht="18" customHeight="1" x14ac:dyDescent="0.2">
      <c r="A95" s="3" t="s">
        <v>847</v>
      </c>
      <c r="B95" s="3"/>
      <c r="C95" s="3" t="s">
        <v>228</v>
      </c>
      <c r="D95" s="4" t="s">
        <v>850</v>
      </c>
      <c r="E95" s="4" t="s">
        <v>850</v>
      </c>
      <c r="F95" s="16">
        <v>60006150455</v>
      </c>
      <c r="G95" s="5" t="s">
        <v>848</v>
      </c>
      <c r="H95" s="5" t="s">
        <v>849</v>
      </c>
      <c r="I95" s="6">
        <v>1004</v>
      </c>
      <c r="J95" s="7">
        <v>44614</v>
      </c>
      <c r="K95" s="7">
        <f>J95+365</f>
        <v>44979</v>
      </c>
      <c r="L95" s="17" t="s">
        <v>99</v>
      </c>
      <c r="M95" s="13"/>
    </row>
    <row r="96" spans="1:13" s="15" customFormat="1" ht="18" customHeight="1" x14ac:dyDescent="0.25">
      <c r="A96" s="3" t="s">
        <v>1283</v>
      </c>
      <c r="B96" s="3"/>
      <c r="C96" s="3" t="s">
        <v>20</v>
      </c>
      <c r="D96" s="74" t="s">
        <v>1284</v>
      </c>
      <c r="E96" s="4" t="s">
        <v>1284</v>
      </c>
      <c r="F96" s="16" t="s">
        <v>13</v>
      </c>
      <c r="G96" s="5" t="s">
        <v>22</v>
      </c>
      <c r="H96" s="5" t="s">
        <v>163</v>
      </c>
      <c r="I96" s="57">
        <v>2421241</v>
      </c>
      <c r="J96" s="7">
        <v>45492</v>
      </c>
      <c r="K96" s="7">
        <f t="shared" ref="K96:K119" si="5">J96+720</f>
        <v>46212</v>
      </c>
      <c r="L96" s="17" t="s">
        <v>1257</v>
      </c>
      <c r="M96" s="13"/>
    </row>
    <row r="97" spans="1:13" s="15" customFormat="1" ht="18" customHeight="1" x14ac:dyDescent="0.25">
      <c r="A97" s="3" t="s">
        <v>1283</v>
      </c>
      <c r="B97" s="3" t="s">
        <v>1296</v>
      </c>
      <c r="C97" s="3" t="s">
        <v>20</v>
      </c>
      <c r="D97" s="74" t="s">
        <v>1294</v>
      </c>
      <c r="E97" s="4" t="s">
        <v>1294</v>
      </c>
      <c r="F97" s="16" t="s">
        <v>13</v>
      </c>
      <c r="G97" s="5" t="s">
        <v>22</v>
      </c>
      <c r="H97" s="5" t="s">
        <v>163</v>
      </c>
      <c r="I97" s="57">
        <v>2421242</v>
      </c>
      <c r="J97" s="7">
        <v>45492</v>
      </c>
      <c r="K97" s="7">
        <f t="shared" si="5"/>
        <v>46212</v>
      </c>
      <c r="L97" s="17" t="s">
        <v>1257</v>
      </c>
      <c r="M97" s="13"/>
    </row>
    <row r="98" spans="1:13" s="15" customFormat="1" ht="18" customHeight="1" x14ac:dyDescent="0.25">
      <c r="A98" s="3" t="s">
        <v>1283</v>
      </c>
      <c r="B98" s="3"/>
      <c r="C98" s="3" t="s">
        <v>48</v>
      </c>
      <c r="D98" s="4" t="s">
        <v>1349</v>
      </c>
      <c r="E98" s="4" t="s">
        <v>1349</v>
      </c>
      <c r="F98" s="16" t="s">
        <v>13</v>
      </c>
      <c r="G98" s="5" t="s">
        <v>13</v>
      </c>
      <c r="H98" s="5" t="s">
        <v>163</v>
      </c>
      <c r="I98" s="57">
        <v>2423157</v>
      </c>
      <c r="J98" s="7">
        <v>45498</v>
      </c>
      <c r="K98" s="7">
        <f t="shared" si="5"/>
        <v>46218</v>
      </c>
      <c r="L98" s="17" t="s">
        <v>99</v>
      </c>
      <c r="M98" s="13"/>
    </row>
    <row r="99" spans="1:13" s="15" customFormat="1" ht="18" customHeight="1" x14ac:dyDescent="0.25">
      <c r="A99" s="3" t="s">
        <v>1283</v>
      </c>
      <c r="B99" s="3" t="s">
        <v>1296</v>
      </c>
      <c r="C99" s="3" t="s">
        <v>20</v>
      </c>
      <c r="D99" s="74" t="s">
        <v>1295</v>
      </c>
      <c r="E99" s="4" t="s">
        <v>1295</v>
      </c>
      <c r="F99" s="16" t="s">
        <v>13</v>
      </c>
      <c r="G99" s="5" t="s">
        <v>22</v>
      </c>
      <c r="H99" s="5" t="s">
        <v>163</v>
      </c>
      <c r="I99" s="57">
        <v>2421243</v>
      </c>
      <c r="J99" s="7">
        <v>45492</v>
      </c>
      <c r="K99" s="7">
        <f t="shared" si="5"/>
        <v>46212</v>
      </c>
      <c r="L99" s="17" t="s">
        <v>1257</v>
      </c>
      <c r="M99" s="13"/>
    </row>
    <row r="100" spans="1:13" s="15" customFormat="1" ht="18" customHeight="1" x14ac:dyDescent="0.25">
      <c r="A100" s="3" t="s">
        <v>1283</v>
      </c>
      <c r="B100" s="3"/>
      <c r="C100" s="3" t="s">
        <v>48</v>
      </c>
      <c r="D100" s="4" t="s">
        <v>1350</v>
      </c>
      <c r="E100" s="4" t="s">
        <v>1350</v>
      </c>
      <c r="F100" s="16" t="s">
        <v>13</v>
      </c>
      <c r="G100" s="5" t="s">
        <v>13</v>
      </c>
      <c r="H100" s="5" t="s">
        <v>163</v>
      </c>
      <c r="I100" s="57">
        <v>2423158</v>
      </c>
      <c r="J100" s="7">
        <v>45498</v>
      </c>
      <c r="K100" s="7">
        <f t="shared" si="5"/>
        <v>46218</v>
      </c>
      <c r="L100" s="17" t="s">
        <v>99</v>
      </c>
      <c r="M100" s="13"/>
    </row>
    <row r="101" spans="1:13" s="15" customFormat="1" ht="18" customHeight="1" x14ac:dyDescent="0.25">
      <c r="A101" s="3" t="s">
        <v>1283</v>
      </c>
      <c r="B101" s="3"/>
      <c r="C101" s="3" t="s">
        <v>20</v>
      </c>
      <c r="D101" s="74" t="s">
        <v>1304</v>
      </c>
      <c r="E101" s="4" t="s">
        <v>1304</v>
      </c>
      <c r="F101" s="16" t="s">
        <v>13</v>
      </c>
      <c r="G101" s="5" t="s">
        <v>22</v>
      </c>
      <c r="H101" s="5" t="s">
        <v>163</v>
      </c>
      <c r="I101" s="57">
        <v>2421244</v>
      </c>
      <c r="J101" s="7">
        <v>45492</v>
      </c>
      <c r="K101" s="7">
        <f t="shared" si="5"/>
        <v>46212</v>
      </c>
      <c r="L101" s="17" t="s">
        <v>1257</v>
      </c>
      <c r="M101" s="13"/>
    </row>
    <row r="102" spans="1:13" s="15" customFormat="1" ht="18" customHeight="1" x14ac:dyDescent="0.25">
      <c r="A102" s="3" t="s">
        <v>1283</v>
      </c>
      <c r="B102" s="3"/>
      <c r="C102" s="3" t="s">
        <v>20</v>
      </c>
      <c r="D102" s="74" t="s">
        <v>1305</v>
      </c>
      <c r="E102" s="4" t="s">
        <v>1305</v>
      </c>
      <c r="F102" s="16" t="s">
        <v>13</v>
      </c>
      <c r="G102" s="5" t="s">
        <v>22</v>
      </c>
      <c r="H102" s="5" t="s">
        <v>163</v>
      </c>
      <c r="I102" s="57">
        <v>2421245</v>
      </c>
      <c r="J102" s="7">
        <v>45492</v>
      </c>
      <c r="K102" s="7">
        <f t="shared" si="5"/>
        <v>46212</v>
      </c>
      <c r="L102" s="17" t="s">
        <v>1257</v>
      </c>
      <c r="M102" s="13"/>
    </row>
    <row r="103" spans="1:13" s="15" customFormat="1" ht="18" customHeight="1" x14ac:dyDescent="0.25">
      <c r="A103" s="3" t="s">
        <v>1283</v>
      </c>
      <c r="B103" s="3"/>
      <c r="C103" s="3" t="s">
        <v>20</v>
      </c>
      <c r="D103" s="4" t="s">
        <v>1306</v>
      </c>
      <c r="E103" s="4" t="s">
        <v>1306</v>
      </c>
      <c r="F103" s="16" t="s">
        <v>13</v>
      </c>
      <c r="G103" s="5" t="s">
        <v>22</v>
      </c>
      <c r="H103" s="5" t="s">
        <v>163</v>
      </c>
      <c r="I103" s="57">
        <v>2421246</v>
      </c>
      <c r="J103" s="7">
        <v>45492</v>
      </c>
      <c r="K103" s="7">
        <f t="shared" si="5"/>
        <v>46212</v>
      </c>
      <c r="L103" s="17" t="s">
        <v>99</v>
      </c>
      <c r="M103" s="13"/>
    </row>
    <row r="104" spans="1:13" s="15" customFormat="1" ht="18" customHeight="1" x14ac:dyDescent="0.25">
      <c r="A104" s="3" t="s">
        <v>1283</v>
      </c>
      <c r="B104" s="3"/>
      <c r="C104" s="3" t="s">
        <v>20</v>
      </c>
      <c r="D104" s="74" t="s">
        <v>1307</v>
      </c>
      <c r="E104" s="4" t="s">
        <v>1307</v>
      </c>
      <c r="F104" s="16" t="s">
        <v>13</v>
      </c>
      <c r="G104" s="5" t="s">
        <v>22</v>
      </c>
      <c r="H104" s="5" t="s">
        <v>163</v>
      </c>
      <c r="I104" s="57">
        <v>2421247</v>
      </c>
      <c r="J104" s="7">
        <v>45492</v>
      </c>
      <c r="K104" s="7">
        <f t="shared" si="5"/>
        <v>46212</v>
      </c>
      <c r="L104" s="17" t="s">
        <v>1257</v>
      </c>
      <c r="M104" s="13"/>
    </row>
    <row r="105" spans="1:13" s="13" customFormat="1" ht="18" customHeight="1" x14ac:dyDescent="0.25">
      <c r="A105" s="3" t="s">
        <v>1283</v>
      </c>
      <c r="B105" s="3"/>
      <c r="C105" s="3" t="s">
        <v>20</v>
      </c>
      <c r="D105" s="4" t="s">
        <v>1308</v>
      </c>
      <c r="E105" s="4" t="s">
        <v>1308</v>
      </c>
      <c r="F105" s="16" t="s">
        <v>13</v>
      </c>
      <c r="G105" s="5" t="s">
        <v>22</v>
      </c>
      <c r="H105" s="5" t="s">
        <v>163</v>
      </c>
      <c r="I105" s="57">
        <v>2421248</v>
      </c>
      <c r="J105" s="7">
        <v>45492</v>
      </c>
      <c r="K105" s="7">
        <f t="shared" si="5"/>
        <v>46212</v>
      </c>
      <c r="L105" s="17" t="s">
        <v>99</v>
      </c>
    </row>
    <row r="106" spans="1:13" s="13" customFormat="1" ht="18" customHeight="1" x14ac:dyDescent="0.25">
      <c r="A106" s="3" t="s">
        <v>1283</v>
      </c>
      <c r="B106" s="3"/>
      <c r="C106" s="3" t="s">
        <v>20</v>
      </c>
      <c r="D106" s="4" t="s">
        <v>1309</v>
      </c>
      <c r="E106" s="4" t="s">
        <v>1309</v>
      </c>
      <c r="F106" s="16" t="s">
        <v>13</v>
      </c>
      <c r="G106" s="5" t="s">
        <v>22</v>
      </c>
      <c r="H106" s="5" t="s">
        <v>163</v>
      </c>
      <c r="I106" s="57">
        <v>2421249</v>
      </c>
      <c r="J106" s="7">
        <v>45492</v>
      </c>
      <c r="K106" s="7">
        <f t="shared" si="5"/>
        <v>46212</v>
      </c>
      <c r="L106" s="17" t="s">
        <v>99</v>
      </c>
    </row>
    <row r="107" spans="1:13" s="15" customFormat="1" ht="18" customHeight="1" x14ac:dyDescent="0.25">
      <c r="A107" s="3" t="s">
        <v>1283</v>
      </c>
      <c r="B107" s="3"/>
      <c r="C107" s="3" t="s">
        <v>20</v>
      </c>
      <c r="D107" s="4" t="s">
        <v>1310</v>
      </c>
      <c r="E107" s="4" t="s">
        <v>1310</v>
      </c>
      <c r="F107" s="16" t="s">
        <v>13</v>
      </c>
      <c r="G107" s="5" t="s">
        <v>22</v>
      </c>
      <c r="H107" s="5" t="s">
        <v>163</v>
      </c>
      <c r="I107" s="57">
        <v>2421250</v>
      </c>
      <c r="J107" s="7">
        <v>45492</v>
      </c>
      <c r="K107" s="7">
        <f t="shared" si="5"/>
        <v>46212</v>
      </c>
      <c r="L107" s="17" t="s">
        <v>99</v>
      </c>
      <c r="M107" s="13"/>
    </row>
    <row r="108" spans="1:13" s="15" customFormat="1" ht="18" customHeight="1" x14ac:dyDescent="0.2">
      <c r="A108" s="3" t="s">
        <v>1204</v>
      </c>
      <c r="B108" s="3"/>
      <c r="C108" s="3" t="s">
        <v>46</v>
      </c>
      <c r="D108" s="4" t="s">
        <v>1186</v>
      </c>
      <c r="E108" s="4" t="s">
        <v>1186</v>
      </c>
      <c r="F108" s="16" t="s">
        <v>13</v>
      </c>
      <c r="G108" s="5" t="s">
        <v>1205</v>
      </c>
      <c r="H108" s="5" t="s">
        <v>163</v>
      </c>
      <c r="I108" s="42">
        <v>2305351</v>
      </c>
      <c r="J108" s="7">
        <v>44992</v>
      </c>
      <c r="K108" s="7">
        <f t="shared" si="5"/>
        <v>45712</v>
      </c>
      <c r="L108" s="17" t="s">
        <v>1257</v>
      </c>
      <c r="M108" s="13"/>
    </row>
    <row r="109" spans="1:13" s="13" customFormat="1" ht="18" customHeight="1" x14ac:dyDescent="0.2">
      <c r="A109" s="3" t="s">
        <v>582</v>
      </c>
      <c r="B109" s="3"/>
      <c r="C109" s="3" t="s">
        <v>20</v>
      </c>
      <c r="D109" s="4" t="s">
        <v>732</v>
      </c>
      <c r="E109" s="4" t="s">
        <v>732</v>
      </c>
      <c r="F109" s="16" t="s">
        <v>13</v>
      </c>
      <c r="G109" s="5" t="s">
        <v>22</v>
      </c>
      <c r="H109" s="5" t="s">
        <v>171</v>
      </c>
      <c r="I109" s="6">
        <v>2001361</v>
      </c>
      <c r="J109" s="7">
        <v>43902</v>
      </c>
      <c r="K109" s="7">
        <f t="shared" si="5"/>
        <v>44622</v>
      </c>
      <c r="L109" s="17" t="s">
        <v>99</v>
      </c>
    </row>
    <row r="110" spans="1:13" s="13" customFormat="1" ht="18" customHeight="1" x14ac:dyDescent="0.2">
      <c r="A110" s="3" t="s">
        <v>582</v>
      </c>
      <c r="B110" s="3"/>
      <c r="C110" s="3" t="s">
        <v>20</v>
      </c>
      <c r="D110" s="4" t="s">
        <v>218</v>
      </c>
      <c r="E110" s="4" t="s">
        <v>218</v>
      </c>
      <c r="F110" s="16" t="s">
        <v>13</v>
      </c>
      <c r="G110" s="5" t="s">
        <v>22</v>
      </c>
      <c r="H110" s="5" t="s">
        <v>171</v>
      </c>
      <c r="I110" s="6">
        <v>2001362</v>
      </c>
      <c r="J110" s="7">
        <v>43902</v>
      </c>
      <c r="K110" s="7">
        <f t="shared" si="5"/>
        <v>44622</v>
      </c>
      <c r="L110" s="17" t="s">
        <v>99</v>
      </c>
    </row>
    <row r="111" spans="1:13" s="13" customFormat="1" ht="18" customHeight="1" x14ac:dyDescent="0.2">
      <c r="A111" s="3" t="s">
        <v>583</v>
      </c>
      <c r="B111" s="3"/>
      <c r="C111" s="3" t="s">
        <v>13</v>
      </c>
      <c r="D111" s="4" t="s">
        <v>148</v>
      </c>
      <c r="E111" s="4" t="s">
        <v>148</v>
      </c>
      <c r="F111" s="16" t="s">
        <v>13</v>
      </c>
      <c r="G111" s="5" t="s">
        <v>13</v>
      </c>
      <c r="H111" s="5" t="s">
        <v>67</v>
      </c>
      <c r="I111" s="6">
        <v>1800638</v>
      </c>
      <c r="J111" s="7">
        <v>43137</v>
      </c>
      <c r="K111" s="7">
        <f t="shared" si="5"/>
        <v>43857</v>
      </c>
      <c r="L111" s="17" t="s">
        <v>99</v>
      </c>
    </row>
    <row r="112" spans="1:13" s="13" customFormat="1" ht="18" customHeight="1" x14ac:dyDescent="0.2">
      <c r="A112" s="3" t="s">
        <v>583</v>
      </c>
      <c r="B112" s="3"/>
      <c r="C112" s="3" t="s">
        <v>13</v>
      </c>
      <c r="D112" s="4" t="s">
        <v>140</v>
      </c>
      <c r="E112" s="4" t="s">
        <v>140</v>
      </c>
      <c r="F112" s="16" t="s">
        <v>13</v>
      </c>
      <c r="G112" s="5" t="s">
        <v>13</v>
      </c>
      <c r="H112" s="5" t="s">
        <v>67</v>
      </c>
      <c r="I112" s="6">
        <v>1800639</v>
      </c>
      <c r="J112" s="7">
        <v>43137</v>
      </c>
      <c r="K112" s="7">
        <f t="shared" si="5"/>
        <v>43857</v>
      </c>
      <c r="L112" s="17" t="s">
        <v>99</v>
      </c>
    </row>
    <row r="113" spans="1:13" s="13" customFormat="1" ht="18" customHeight="1" x14ac:dyDescent="0.2">
      <c r="A113" s="3" t="s">
        <v>583</v>
      </c>
      <c r="B113" s="3"/>
      <c r="C113" s="3" t="s">
        <v>13</v>
      </c>
      <c r="D113" s="4" t="s">
        <v>145</v>
      </c>
      <c r="E113" s="4" t="s">
        <v>145</v>
      </c>
      <c r="F113" s="16" t="s">
        <v>13</v>
      </c>
      <c r="G113" s="5" t="s">
        <v>13</v>
      </c>
      <c r="H113" s="5" t="s">
        <v>67</v>
      </c>
      <c r="I113" s="6">
        <v>1800640</v>
      </c>
      <c r="J113" s="7">
        <v>43137</v>
      </c>
      <c r="K113" s="7">
        <f t="shared" si="5"/>
        <v>43857</v>
      </c>
      <c r="L113" s="17" t="s">
        <v>99</v>
      </c>
    </row>
    <row r="114" spans="1:13" s="15" customFormat="1" ht="18" customHeight="1" x14ac:dyDescent="0.2">
      <c r="A114" s="3" t="s">
        <v>583</v>
      </c>
      <c r="B114" s="3"/>
      <c r="C114" s="3" t="s">
        <v>20</v>
      </c>
      <c r="D114" s="4" t="s">
        <v>82</v>
      </c>
      <c r="E114" s="4" t="s">
        <v>82</v>
      </c>
      <c r="F114" s="16" t="s">
        <v>13</v>
      </c>
      <c r="G114" s="5" t="s">
        <v>13</v>
      </c>
      <c r="H114" s="5" t="s">
        <v>67</v>
      </c>
      <c r="I114" s="6">
        <v>1800642</v>
      </c>
      <c r="J114" s="7">
        <v>43137</v>
      </c>
      <c r="K114" s="7">
        <f t="shared" si="5"/>
        <v>43857</v>
      </c>
      <c r="L114" s="17" t="s">
        <v>99</v>
      </c>
      <c r="M114" s="13"/>
    </row>
    <row r="115" spans="1:13" s="15" customFormat="1" ht="18" customHeight="1" x14ac:dyDescent="0.2">
      <c r="A115" s="3" t="s">
        <v>659</v>
      </c>
      <c r="B115" s="3"/>
      <c r="C115" s="3" t="s">
        <v>297</v>
      </c>
      <c r="D115" s="74">
        <v>1077</v>
      </c>
      <c r="E115" s="4">
        <v>1077</v>
      </c>
      <c r="F115" s="16" t="s">
        <v>1265</v>
      </c>
      <c r="G115" s="5" t="s">
        <v>13</v>
      </c>
      <c r="H115" s="5" t="s">
        <v>163</v>
      </c>
      <c r="I115" s="42">
        <v>2415682</v>
      </c>
      <c r="J115" s="7">
        <v>45457</v>
      </c>
      <c r="K115" s="7">
        <f t="shared" si="5"/>
        <v>46177</v>
      </c>
      <c r="L115" s="17" t="s">
        <v>1257</v>
      </c>
      <c r="M115" s="13"/>
    </row>
    <row r="116" spans="1:13" s="15" customFormat="1" ht="18" customHeight="1" x14ac:dyDescent="0.2">
      <c r="A116" s="3" t="s">
        <v>659</v>
      </c>
      <c r="B116" s="3"/>
      <c r="C116" s="3" t="s">
        <v>1273</v>
      </c>
      <c r="D116" s="74">
        <v>1840</v>
      </c>
      <c r="E116" s="4">
        <v>1840</v>
      </c>
      <c r="F116" s="16">
        <v>12050541</v>
      </c>
      <c r="G116" s="5" t="s">
        <v>45</v>
      </c>
      <c r="H116" s="5" t="s">
        <v>163</v>
      </c>
      <c r="I116" s="42">
        <v>2415684</v>
      </c>
      <c r="J116" s="7">
        <v>45461</v>
      </c>
      <c r="K116" s="7">
        <f t="shared" si="5"/>
        <v>46181</v>
      </c>
      <c r="L116" s="17" t="s">
        <v>1257</v>
      </c>
      <c r="M116" s="13"/>
    </row>
    <row r="117" spans="1:13" s="13" customFormat="1" ht="18" customHeight="1" x14ac:dyDescent="0.2">
      <c r="A117" s="3" t="s">
        <v>659</v>
      </c>
      <c r="B117" s="3"/>
      <c r="C117" s="3" t="s">
        <v>297</v>
      </c>
      <c r="D117" s="74">
        <v>1841</v>
      </c>
      <c r="E117" s="4">
        <v>1841</v>
      </c>
      <c r="F117" s="16" t="s">
        <v>45</v>
      </c>
      <c r="G117" s="5" t="s">
        <v>1272</v>
      </c>
      <c r="H117" s="5" t="s">
        <v>163</v>
      </c>
      <c r="I117" s="42">
        <v>2415681</v>
      </c>
      <c r="J117" s="7">
        <v>45461</v>
      </c>
      <c r="K117" s="7">
        <f t="shared" si="5"/>
        <v>46181</v>
      </c>
      <c r="L117" s="17" t="s">
        <v>1257</v>
      </c>
    </row>
    <row r="118" spans="1:13" s="13" customFormat="1" ht="18" customHeight="1" x14ac:dyDescent="0.2">
      <c r="A118" s="3" t="s">
        <v>659</v>
      </c>
      <c r="B118" s="3"/>
      <c r="C118" s="3" t="s">
        <v>1273</v>
      </c>
      <c r="D118" s="74">
        <v>1842</v>
      </c>
      <c r="E118" s="4">
        <v>1842</v>
      </c>
      <c r="F118" s="16">
        <v>12050541</v>
      </c>
      <c r="G118" s="5" t="s">
        <v>45</v>
      </c>
      <c r="H118" s="5" t="s">
        <v>163</v>
      </c>
      <c r="I118" s="42">
        <v>2415683</v>
      </c>
      <c r="J118" s="7">
        <v>45461</v>
      </c>
      <c r="K118" s="7">
        <f t="shared" si="5"/>
        <v>46181</v>
      </c>
      <c r="L118" s="17" t="s">
        <v>1257</v>
      </c>
    </row>
    <row r="119" spans="1:13" s="15" customFormat="1" ht="18" customHeight="1" x14ac:dyDescent="0.2">
      <c r="A119" s="3" t="s">
        <v>1269</v>
      </c>
      <c r="B119" s="3"/>
      <c r="C119" s="3" t="s">
        <v>389</v>
      </c>
      <c r="D119" s="74" t="s">
        <v>1271</v>
      </c>
      <c r="E119" s="4" t="s">
        <v>1271</v>
      </c>
      <c r="F119" s="16">
        <v>111780143</v>
      </c>
      <c r="G119" s="5" t="s">
        <v>1270</v>
      </c>
      <c r="H119" s="5" t="s">
        <v>163</v>
      </c>
      <c r="I119" s="42">
        <v>2415678</v>
      </c>
      <c r="J119" s="7">
        <v>45457</v>
      </c>
      <c r="K119" s="7">
        <f t="shared" si="5"/>
        <v>46177</v>
      </c>
      <c r="L119" s="17" t="s">
        <v>1257</v>
      </c>
      <c r="M119" s="13"/>
    </row>
    <row r="120" spans="1:13" s="15" customFormat="1" ht="18" customHeight="1" x14ac:dyDescent="0.2">
      <c r="A120" s="3" t="s">
        <v>574</v>
      </c>
      <c r="B120" s="3"/>
      <c r="C120" s="3" t="s">
        <v>20</v>
      </c>
      <c r="D120" s="4" t="s">
        <v>235</v>
      </c>
      <c r="E120" s="4" t="s">
        <v>235</v>
      </c>
      <c r="F120" s="16" t="s">
        <v>13</v>
      </c>
      <c r="G120" s="5" t="s">
        <v>13</v>
      </c>
      <c r="H120" s="5" t="s">
        <v>16</v>
      </c>
      <c r="I120" s="6" t="s">
        <v>236</v>
      </c>
      <c r="J120" s="7">
        <v>43626</v>
      </c>
      <c r="K120" s="7">
        <f t="shared" ref="K120:K130" si="6">J120+900</f>
        <v>44526</v>
      </c>
      <c r="L120" s="17" t="s">
        <v>99</v>
      </c>
      <c r="M120" s="13"/>
    </row>
    <row r="121" spans="1:13" s="15" customFormat="1" ht="18" customHeight="1" x14ac:dyDescent="0.2">
      <c r="A121" s="3" t="s">
        <v>574</v>
      </c>
      <c r="B121" s="3"/>
      <c r="C121" s="3" t="s">
        <v>20</v>
      </c>
      <c r="D121" s="4" t="s">
        <v>246</v>
      </c>
      <c r="E121" s="4" t="s">
        <v>246</v>
      </c>
      <c r="F121" s="16" t="s">
        <v>13</v>
      </c>
      <c r="G121" s="5" t="s">
        <v>13</v>
      </c>
      <c r="H121" s="5" t="s">
        <v>16</v>
      </c>
      <c r="I121" s="6" t="s">
        <v>250</v>
      </c>
      <c r="J121" s="7">
        <v>43626</v>
      </c>
      <c r="K121" s="7">
        <f t="shared" si="6"/>
        <v>44526</v>
      </c>
      <c r="L121" s="17" t="s">
        <v>99</v>
      </c>
      <c r="M121" s="13"/>
    </row>
    <row r="122" spans="1:13" s="15" customFormat="1" ht="18" customHeight="1" x14ac:dyDescent="0.2">
      <c r="A122" s="3" t="s">
        <v>574</v>
      </c>
      <c r="B122" s="3"/>
      <c r="C122" s="3" t="s">
        <v>20</v>
      </c>
      <c r="D122" s="4" t="s">
        <v>265</v>
      </c>
      <c r="E122" s="4" t="s">
        <v>265</v>
      </c>
      <c r="F122" s="16" t="s">
        <v>13</v>
      </c>
      <c r="G122" s="5" t="s">
        <v>13</v>
      </c>
      <c r="H122" s="5" t="s">
        <v>16</v>
      </c>
      <c r="I122" s="6" t="s">
        <v>266</v>
      </c>
      <c r="J122" s="7">
        <v>43626</v>
      </c>
      <c r="K122" s="7">
        <f t="shared" si="6"/>
        <v>44526</v>
      </c>
      <c r="L122" s="17" t="s">
        <v>99</v>
      </c>
      <c r="M122" s="13"/>
    </row>
    <row r="123" spans="1:13" s="15" customFormat="1" ht="18" customHeight="1" x14ac:dyDescent="0.2">
      <c r="A123" s="3" t="s">
        <v>574</v>
      </c>
      <c r="B123" s="3"/>
      <c r="C123" s="3" t="s">
        <v>279</v>
      </c>
      <c r="D123" s="4" t="s">
        <v>280</v>
      </c>
      <c r="E123" s="4" t="s">
        <v>280</v>
      </c>
      <c r="F123" s="16" t="s">
        <v>13</v>
      </c>
      <c r="G123" s="5" t="s">
        <v>13</v>
      </c>
      <c r="H123" s="5" t="s">
        <v>16</v>
      </c>
      <c r="I123" s="6" t="s">
        <v>290</v>
      </c>
      <c r="J123" s="7">
        <v>43626</v>
      </c>
      <c r="K123" s="7">
        <f t="shared" si="6"/>
        <v>44526</v>
      </c>
      <c r="L123" s="17" t="s">
        <v>99</v>
      </c>
      <c r="M123" s="13"/>
    </row>
    <row r="124" spans="1:13" s="15" customFormat="1" ht="18" customHeight="1" x14ac:dyDescent="0.2">
      <c r="A124" s="3" t="s">
        <v>574</v>
      </c>
      <c r="B124" s="3"/>
      <c r="C124" s="3" t="s">
        <v>20</v>
      </c>
      <c r="D124" s="4" t="s">
        <v>212</v>
      </c>
      <c r="E124" s="4" t="s">
        <v>212</v>
      </c>
      <c r="F124" s="16" t="s">
        <v>13</v>
      </c>
      <c r="G124" s="5" t="s">
        <v>13</v>
      </c>
      <c r="H124" s="5" t="s">
        <v>16</v>
      </c>
      <c r="I124" s="6" t="s">
        <v>213</v>
      </c>
      <c r="J124" s="7">
        <v>43417</v>
      </c>
      <c r="K124" s="7">
        <f t="shared" si="6"/>
        <v>44317</v>
      </c>
      <c r="L124" s="17" t="s">
        <v>99</v>
      </c>
      <c r="M124" s="13"/>
    </row>
    <row r="125" spans="1:13" s="15" customFormat="1" ht="18" customHeight="1" x14ac:dyDescent="0.2">
      <c r="A125" s="3" t="s">
        <v>574</v>
      </c>
      <c r="B125" s="3"/>
      <c r="C125" s="3" t="s">
        <v>20</v>
      </c>
      <c r="D125" s="4" t="s">
        <v>211</v>
      </c>
      <c r="E125" s="4" t="s">
        <v>211</v>
      </c>
      <c r="F125" s="16" t="s">
        <v>13</v>
      </c>
      <c r="G125" s="5" t="s">
        <v>13</v>
      </c>
      <c r="H125" s="5" t="s">
        <v>16</v>
      </c>
      <c r="I125" s="6" t="s">
        <v>247</v>
      </c>
      <c r="J125" s="7">
        <v>43626</v>
      </c>
      <c r="K125" s="7">
        <f t="shared" si="6"/>
        <v>44526</v>
      </c>
      <c r="L125" s="17" t="s">
        <v>99</v>
      </c>
      <c r="M125" s="13"/>
    </row>
    <row r="126" spans="1:13" s="15" customFormat="1" ht="18" customHeight="1" x14ac:dyDescent="0.2">
      <c r="A126" s="3" t="s">
        <v>574</v>
      </c>
      <c r="B126" s="3"/>
      <c r="C126" s="3" t="s">
        <v>13</v>
      </c>
      <c r="D126" s="4" t="s">
        <v>144</v>
      </c>
      <c r="E126" s="4" t="s">
        <v>144</v>
      </c>
      <c r="F126" s="16" t="s">
        <v>13</v>
      </c>
      <c r="G126" s="5" t="s">
        <v>13</v>
      </c>
      <c r="H126" s="5" t="s">
        <v>16</v>
      </c>
      <c r="I126" s="6" t="s">
        <v>252</v>
      </c>
      <c r="J126" s="7">
        <v>43626</v>
      </c>
      <c r="K126" s="7">
        <f t="shared" si="6"/>
        <v>44526</v>
      </c>
      <c r="L126" s="17" t="s">
        <v>99</v>
      </c>
      <c r="M126" s="13"/>
    </row>
    <row r="127" spans="1:13" s="15" customFormat="1" ht="18" customHeight="1" x14ac:dyDescent="0.2">
      <c r="A127" s="3" t="s">
        <v>574</v>
      </c>
      <c r="B127" s="3"/>
      <c r="C127" s="3" t="s">
        <v>20</v>
      </c>
      <c r="D127" s="4" t="s">
        <v>263</v>
      </c>
      <c r="E127" s="4" t="s">
        <v>263</v>
      </c>
      <c r="F127" s="16" t="s">
        <v>13</v>
      </c>
      <c r="G127" s="5" t="s">
        <v>13</v>
      </c>
      <c r="H127" s="5" t="s">
        <v>16</v>
      </c>
      <c r="I127" s="6" t="s">
        <v>264</v>
      </c>
      <c r="J127" s="7">
        <v>43626</v>
      </c>
      <c r="K127" s="7">
        <f t="shared" si="6"/>
        <v>44526</v>
      </c>
      <c r="L127" s="17" t="s">
        <v>99</v>
      </c>
      <c r="M127" s="13"/>
    </row>
    <row r="128" spans="1:13" s="15" customFormat="1" ht="18" customHeight="1" x14ac:dyDescent="0.2">
      <c r="A128" s="3" t="s">
        <v>574</v>
      </c>
      <c r="B128" s="3"/>
      <c r="C128" s="3" t="s">
        <v>20</v>
      </c>
      <c r="D128" s="4" t="s">
        <v>271</v>
      </c>
      <c r="E128" s="4" t="s">
        <v>271</v>
      </c>
      <c r="F128" s="16" t="s">
        <v>13</v>
      </c>
      <c r="G128" s="5" t="s">
        <v>13</v>
      </c>
      <c r="H128" s="5" t="s">
        <v>16</v>
      </c>
      <c r="I128" s="6" t="s">
        <v>272</v>
      </c>
      <c r="J128" s="7">
        <v>43626</v>
      </c>
      <c r="K128" s="7">
        <f t="shared" si="6"/>
        <v>44526</v>
      </c>
      <c r="L128" s="17" t="s">
        <v>99</v>
      </c>
      <c r="M128" s="13"/>
    </row>
    <row r="129" spans="1:13" s="15" customFormat="1" ht="18" customHeight="1" x14ac:dyDescent="0.2">
      <c r="A129" s="3" t="s">
        <v>574</v>
      </c>
      <c r="B129" s="3"/>
      <c r="C129" s="3" t="s">
        <v>20</v>
      </c>
      <c r="D129" s="4" t="s">
        <v>288</v>
      </c>
      <c r="E129" s="4" t="s">
        <v>288</v>
      </c>
      <c r="F129" s="16" t="s">
        <v>13</v>
      </c>
      <c r="G129" s="5" t="s">
        <v>13</v>
      </c>
      <c r="H129" s="5" t="s">
        <v>16</v>
      </c>
      <c r="I129" s="6" t="s">
        <v>289</v>
      </c>
      <c r="J129" s="7">
        <v>43626</v>
      </c>
      <c r="K129" s="7">
        <f t="shared" si="6"/>
        <v>44526</v>
      </c>
      <c r="L129" s="17" t="s">
        <v>99</v>
      </c>
      <c r="M129" s="13"/>
    </row>
    <row r="130" spans="1:13" s="15" customFormat="1" ht="18" customHeight="1" x14ac:dyDescent="0.2">
      <c r="A130" s="3" t="s">
        <v>584</v>
      </c>
      <c r="B130" s="3"/>
      <c r="C130" s="3" t="s">
        <v>20</v>
      </c>
      <c r="D130" s="4" t="s">
        <v>255</v>
      </c>
      <c r="E130" s="4" t="s">
        <v>255</v>
      </c>
      <c r="F130" s="16" t="s">
        <v>13</v>
      </c>
      <c r="G130" s="5" t="s">
        <v>13</v>
      </c>
      <c r="H130" s="5" t="s">
        <v>16</v>
      </c>
      <c r="I130" s="6" t="s">
        <v>256</v>
      </c>
      <c r="J130" s="7">
        <v>43626</v>
      </c>
      <c r="K130" s="7">
        <f t="shared" si="6"/>
        <v>44526</v>
      </c>
      <c r="L130" s="17" t="s">
        <v>99</v>
      </c>
      <c r="M130" s="13"/>
    </row>
    <row r="131" spans="1:13" s="15" customFormat="1" ht="18" customHeight="1" x14ac:dyDescent="0.2">
      <c r="A131" s="3" t="s">
        <v>47</v>
      </c>
      <c r="B131" s="3"/>
      <c r="C131" s="3" t="s">
        <v>13</v>
      </c>
      <c r="D131" s="4" t="s">
        <v>214</v>
      </c>
      <c r="E131" s="4" t="s">
        <v>214</v>
      </c>
      <c r="F131" s="16" t="s">
        <v>13</v>
      </c>
      <c r="G131" s="5" t="s">
        <v>13</v>
      </c>
      <c r="H131" s="5" t="s">
        <v>16</v>
      </c>
      <c r="I131" s="6" t="s">
        <v>215</v>
      </c>
      <c r="J131" s="7">
        <v>43417</v>
      </c>
      <c r="K131" s="7">
        <f t="shared" ref="K131:K139" si="7">J131+720</f>
        <v>44137</v>
      </c>
      <c r="L131" s="17" t="s">
        <v>99</v>
      </c>
      <c r="M131" s="13"/>
    </row>
    <row r="132" spans="1:13" s="15" customFormat="1" ht="18" customHeight="1" x14ac:dyDescent="0.2">
      <c r="A132" s="3" t="s">
        <v>47</v>
      </c>
      <c r="B132" s="3"/>
      <c r="C132" s="3" t="s">
        <v>13</v>
      </c>
      <c r="D132" s="4" t="s">
        <v>216</v>
      </c>
      <c r="E132" s="4" t="s">
        <v>216</v>
      </c>
      <c r="F132" s="16" t="s">
        <v>13</v>
      </c>
      <c r="G132" s="5" t="s">
        <v>13</v>
      </c>
      <c r="H132" s="5" t="s">
        <v>16</v>
      </c>
      <c r="I132" s="6" t="s">
        <v>217</v>
      </c>
      <c r="J132" s="7">
        <v>43417</v>
      </c>
      <c r="K132" s="7">
        <f t="shared" si="7"/>
        <v>44137</v>
      </c>
      <c r="L132" s="17" t="s">
        <v>99</v>
      </c>
      <c r="M132" s="13"/>
    </row>
    <row r="133" spans="1:13" s="15" customFormat="1" ht="18" customHeight="1" x14ac:dyDescent="0.2">
      <c r="A133" s="3" t="s">
        <v>47</v>
      </c>
      <c r="B133" s="3"/>
      <c r="C133" s="3" t="s">
        <v>46</v>
      </c>
      <c r="D133" s="74" t="s">
        <v>626</v>
      </c>
      <c r="E133" s="4" t="s">
        <v>626</v>
      </c>
      <c r="F133" s="16" t="s">
        <v>13</v>
      </c>
      <c r="G133" s="5">
        <v>3020</v>
      </c>
      <c r="H133" s="5" t="s">
        <v>163</v>
      </c>
      <c r="I133" s="42">
        <v>2415679</v>
      </c>
      <c r="J133" s="7">
        <v>45457</v>
      </c>
      <c r="K133" s="7">
        <f t="shared" si="7"/>
        <v>46177</v>
      </c>
      <c r="L133" s="17" t="s">
        <v>1257</v>
      </c>
      <c r="M133" s="13"/>
    </row>
    <row r="134" spans="1:13" s="15" customFormat="1" ht="18" customHeight="1" x14ac:dyDescent="0.2">
      <c r="A134" s="3" t="s">
        <v>47</v>
      </c>
      <c r="B134" s="3"/>
      <c r="C134" s="3" t="s">
        <v>46</v>
      </c>
      <c r="D134" s="74" t="s">
        <v>627</v>
      </c>
      <c r="E134" s="4" t="s">
        <v>627</v>
      </c>
      <c r="F134" s="16" t="s">
        <v>13</v>
      </c>
      <c r="G134" s="5" t="s">
        <v>1205</v>
      </c>
      <c r="H134" s="5" t="s">
        <v>16</v>
      </c>
      <c r="I134" s="42">
        <v>2311802</v>
      </c>
      <c r="J134" s="7">
        <v>45057</v>
      </c>
      <c r="K134" s="7">
        <f t="shared" si="7"/>
        <v>45777</v>
      </c>
      <c r="L134" s="17" t="s">
        <v>1257</v>
      </c>
      <c r="M134" s="13"/>
    </row>
    <row r="135" spans="1:13" s="15" customFormat="1" ht="18" customHeight="1" x14ac:dyDescent="0.2">
      <c r="A135" s="3" t="s">
        <v>47</v>
      </c>
      <c r="B135" s="3"/>
      <c r="C135" s="3" t="s">
        <v>46</v>
      </c>
      <c r="D135" s="4" t="s">
        <v>1235</v>
      </c>
      <c r="E135" s="4" t="s">
        <v>1235</v>
      </c>
      <c r="F135" s="16" t="s">
        <v>13</v>
      </c>
      <c r="G135" s="5" t="s">
        <v>1205</v>
      </c>
      <c r="H135" s="5" t="s">
        <v>163</v>
      </c>
      <c r="I135" s="42">
        <v>2311803</v>
      </c>
      <c r="J135" s="7">
        <v>45058</v>
      </c>
      <c r="K135" s="7">
        <f t="shared" si="7"/>
        <v>45778</v>
      </c>
      <c r="L135" s="17" t="s">
        <v>1257</v>
      </c>
      <c r="M135" s="13"/>
    </row>
    <row r="136" spans="1:13" s="15" customFormat="1" ht="18" customHeight="1" x14ac:dyDescent="0.2">
      <c r="A136" s="3" t="s">
        <v>47</v>
      </c>
      <c r="B136" s="3"/>
      <c r="C136" s="3" t="s">
        <v>46</v>
      </c>
      <c r="D136" s="4" t="s">
        <v>1236</v>
      </c>
      <c r="E136" s="4" t="s">
        <v>1236</v>
      </c>
      <c r="F136" s="16" t="s">
        <v>13</v>
      </c>
      <c r="G136" s="5" t="s">
        <v>1205</v>
      </c>
      <c r="H136" s="5" t="s">
        <v>163</v>
      </c>
      <c r="I136" s="42">
        <v>2311804</v>
      </c>
      <c r="J136" s="7">
        <v>45059</v>
      </c>
      <c r="K136" s="7">
        <f t="shared" si="7"/>
        <v>45779</v>
      </c>
      <c r="L136" s="17" t="s">
        <v>1257</v>
      </c>
      <c r="M136" s="13"/>
    </row>
    <row r="137" spans="1:13" s="15" customFormat="1" ht="18" customHeight="1" x14ac:dyDescent="0.2">
      <c r="A137" s="3" t="s">
        <v>47</v>
      </c>
      <c r="B137" s="3"/>
      <c r="C137" s="3" t="s">
        <v>46</v>
      </c>
      <c r="D137" s="4" t="s">
        <v>1237</v>
      </c>
      <c r="E137" s="4" t="s">
        <v>1237</v>
      </c>
      <c r="F137" s="16" t="s">
        <v>13</v>
      </c>
      <c r="G137" s="5" t="s">
        <v>1205</v>
      </c>
      <c r="H137" s="5" t="s">
        <v>163</v>
      </c>
      <c r="I137" s="42">
        <v>2311805</v>
      </c>
      <c r="J137" s="7">
        <v>45060</v>
      </c>
      <c r="K137" s="7">
        <f t="shared" si="7"/>
        <v>45780</v>
      </c>
      <c r="L137" s="17" t="s">
        <v>1257</v>
      </c>
      <c r="M137" s="13"/>
    </row>
    <row r="138" spans="1:13" s="15" customFormat="1" ht="18" customHeight="1" x14ac:dyDescent="0.2">
      <c r="A138" s="65" t="s">
        <v>47</v>
      </c>
      <c r="B138" s="3"/>
      <c r="C138" s="3" t="s">
        <v>46</v>
      </c>
      <c r="D138" s="4" t="s">
        <v>1238</v>
      </c>
      <c r="E138" s="4" t="s">
        <v>1238</v>
      </c>
      <c r="F138" s="16" t="s">
        <v>13</v>
      </c>
      <c r="G138" s="5" t="s">
        <v>1205</v>
      </c>
      <c r="H138" s="5" t="s">
        <v>163</v>
      </c>
      <c r="I138" s="42">
        <v>2311806</v>
      </c>
      <c r="J138" s="7">
        <v>45061</v>
      </c>
      <c r="K138" s="7">
        <f t="shared" si="7"/>
        <v>45781</v>
      </c>
      <c r="L138" s="17" t="s">
        <v>1257</v>
      </c>
      <c r="M138" s="13"/>
    </row>
    <row r="139" spans="1:13" s="15" customFormat="1" ht="18" customHeight="1" x14ac:dyDescent="0.2">
      <c r="A139" s="3" t="s">
        <v>47</v>
      </c>
      <c r="B139" s="3"/>
      <c r="C139" s="3" t="s">
        <v>46</v>
      </c>
      <c r="D139" s="74" t="s">
        <v>1264</v>
      </c>
      <c r="E139" s="4" t="s">
        <v>1264</v>
      </c>
      <c r="F139" s="16" t="s">
        <v>13</v>
      </c>
      <c r="G139" s="5" t="s">
        <v>1205</v>
      </c>
      <c r="H139" s="5" t="s">
        <v>163</v>
      </c>
      <c r="I139" s="42">
        <v>2415680</v>
      </c>
      <c r="J139" s="7">
        <v>45461</v>
      </c>
      <c r="K139" s="7">
        <f t="shared" si="7"/>
        <v>46181</v>
      </c>
      <c r="L139" s="17" t="s">
        <v>1257</v>
      </c>
      <c r="M139" s="13"/>
    </row>
    <row r="140" spans="1:13" s="15" customFormat="1" ht="18" customHeight="1" x14ac:dyDescent="0.2">
      <c r="A140" s="3" t="s">
        <v>1358</v>
      </c>
      <c r="B140" s="3"/>
      <c r="C140" s="3" t="s">
        <v>13</v>
      </c>
      <c r="D140" s="74" t="s">
        <v>104</v>
      </c>
      <c r="E140" s="4" t="s">
        <v>104</v>
      </c>
      <c r="F140" s="16" t="s">
        <v>13</v>
      </c>
      <c r="G140" s="5" t="s">
        <v>13</v>
      </c>
      <c r="H140" s="5" t="s">
        <v>163</v>
      </c>
      <c r="I140" s="6">
        <v>2224243</v>
      </c>
      <c r="J140" s="7">
        <v>44858</v>
      </c>
      <c r="K140" s="7">
        <f>J140+365</f>
        <v>45223</v>
      </c>
      <c r="L140" s="17" t="s">
        <v>1257</v>
      </c>
      <c r="M140" s="13"/>
    </row>
    <row r="141" spans="1:13" s="71" customFormat="1" ht="18" customHeight="1" x14ac:dyDescent="0.2">
      <c r="A141" s="65" t="s">
        <v>1358</v>
      </c>
      <c r="B141" s="65"/>
      <c r="C141" s="65" t="s">
        <v>599</v>
      </c>
      <c r="D141" s="77" t="s">
        <v>600</v>
      </c>
      <c r="E141" s="66" t="s">
        <v>600</v>
      </c>
      <c r="F141" s="56" t="s">
        <v>13</v>
      </c>
      <c r="G141" s="67" t="s">
        <v>601</v>
      </c>
      <c r="H141" s="67" t="s">
        <v>163</v>
      </c>
      <c r="I141" s="68">
        <v>2427404</v>
      </c>
      <c r="J141" s="69">
        <v>45534</v>
      </c>
      <c r="K141" s="69">
        <f>J141+365</f>
        <v>45899</v>
      </c>
      <c r="L141" s="70" t="s">
        <v>1257</v>
      </c>
      <c r="M141" s="12"/>
    </row>
    <row r="142" spans="1:13" s="71" customFormat="1" ht="18" customHeight="1" x14ac:dyDescent="0.2">
      <c r="A142" s="65" t="s">
        <v>1358</v>
      </c>
      <c r="B142" s="65"/>
      <c r="C142" s="65"/>
      <c r="D142" s="66" t="s">
        <v>1397</v>
      </c>
      <c r="E142" s="66" t="s">
        <v>1397</v>
      </c>
      <c r="F142" s="56" t="s">
        <v>13</v>
      </c>
      <c r="G142" s="67"/>
      <c r="H142" s="72" t="s">
        <v>163</v>
      </c>
      <c r="I142" s="68">
        <v>2438631</v>
      </c>
      <c r="J142" s="69">
        <v>45625</v>
      </c>
      <c r="K142" s="69">
        <f t="shared" ref="K142:K144" si="8">J142+365</f>
        <v>45990</v>
      </c>
      <c r="L142" s="70" t="s">
        <v>1257</v>
      </c>
      <c r="M142" s="12"/>
    </row>
    <row r="143" spans="1:13" s="15" customFormat="1" ht="18" customHeight="1" x14ac:dyDescent="0.2">
      <c r="A143" s="3" t="s">
        <v>1358</v>
      </c>
      <c r="B143" s="3"/>
      <c r="C143" s="3"/>
      <c r="D143" s="74" t="s">
        <v>1398</v>
      </c>
      <c r="E143" s="4" t="s">
        <v>1398</v>
      </c>
      <c r="F143" s="56" t="s">
        <v>13</v>
      </c>
      <c r="G143" s="5"/>
      <c r="H143" s="64" t="s">
        <v>163</v>
      </c>
      <c r="I143" s="42">
        <v>2438632</v>
      </c>
      <c r="J143" s="7">
        <v>45625</v>
      </c>
      <c r="K143" s="7">
        <f t="shared" si="8"/>
        <v>45990</v>
      </c>
      <c r="L143" s="70" t="s">
        <v>1257</v>
      </c>
      <c r="M143" s="13"/>
    </row>
    <row r="144" spans="1:13" s="15" customFormat="1" ht="18" customHeight="1" x14ac:dyDescent="0.2">
      <c r="A144" s="3" t="s">
        <v>1358</v>
      </c>
      <c r="B144" s="3"/>
      <c r="C144" s="3"/>
      <c r="D144" s="4" t="s">
        <v>1399</v>
      </c>
      <c r="E144" s="4" t="s">
        <v>1399</v>
      </c>
      <c r="F144" s="56" t="s">
        <v>13</v>
      </c>
      <c r="G144" s="5"/>
      <c r="H144" s="64" t="s">
        <v>163</v>
      </c>
      <c r="I144" s="42">
        <v>2438633</v>
      </c>
      <c r="J144" s="7">
        <v>45625</v>
      </c>
      <c r="K144" s="7">
        <f t="shared" si="8"/>
        <v>45990</v>
      </c>
      <c r="L144" s="17" t="s">
        <v>99</v>
      </c>
      <c r="M144" s="13"/>
    </row>
    <row r="145" spans="1:13" s="15" customFormat="1" ht="18" customHeight="1" x14ac:dyDescent="0.2">
      <c r="A145" s="3" t="s">
        <v>1061</v>
      </c>
      <c r="B145" s="3"/>
      <c r="C145" s="3"/>
      <c r="D145" s="74">
        <v>629</v>
      </c>
      <c r="E145" s="4">
        <v>629</v>
      </c>
      <c r="F145" s="16" t="s">
        <v>1275</v>
      </c>
      <c r="G145" s="5" t="s">
        <v>1274</v>
      </c>
      <c r="H145" s="5" t="s">
        <v>163</v>
      </c>
      <c r="I145" s="42">
        <v>2415685</v>
      </c>
      <c r="J145" s="7">
        <v>45457</v>
      </c>
      <c r="K145" s="7">
        <f>J145+365</f>
        <v>45822</v>
      </c>
      <c r="L145" s="17" t="s">
        <v>1257</v>
      </c>
      <c r="M145" s="13"/>
    </row>
    <row r="146" spans="1:13" s="15" customFormat="1" ht="18" customHeight="1" x14ac:dyDescent="0.2">
      <c r="A146" s="3" t="s">
        <v>1061</v>
      </c>
      <c r="B146" s="3"/>
      <c r="C146" s="3" t="s">
        <v>108</v>
      </c>
      <c r="D146" s="4" t="s">
        <v>88</v>
      </c>
      <c r="E146" s="4" t="s">
        <v>88</v>
      </c>
      <c r="F146" s="16" t="s">
        <v>13</v>
      </c>
      <c r="G146" s="5" t="s">
        <v>87</v>
      </c>
      <c r="H146" s="5" t="s">
        <v>163</v>
      </c>
      <c r="I146" s="6"/>
      <c r="J146" s="7"/>
      <c r="K146" s="7">
        <f>J146+365</f>
        <v>365</v>
      </c>
      <c r="L146" s="17" t="s">
        <v>1257</v>
      </c>
      <c r="M146" s="13"/>
    </row>
    <row r="147" spans="1:13" s="13" customFormat="1" ht="18" customHeight="1" x14ac:dyDescent="0.2">
      <c r="A147" s="3" t="s">
        <v>388</v>
      </c>
      <c r="B147" s="3"/>
      <c r="C147" s="3" t="s">
        <v>13</v>
      </c>
      <c r="D147" s="4" t="s">
        <v>399</v>
      </c>
      <c r="E147" s="4" t="s">
        <v>399</v>
      </c>
      <c r="F147" s="16" t="s">
        <v>13</v>
      </c>
      <c r="G147" s="5" t="s">
        <v>13</v>
      </c>
      <c r="H147" s="5" t="s">
        <v>16</v>
      </c>
      <c r="I147" s="6" t="s">
        <v>400</v>
      </c>
      <c r="J147" s="7">
        <v>44020</v>
      </c>
      <c r="K147" s="7">
        <f>J147+360</f>
        <v>44380</v>
      </c>
      <c r="L147" s="17" t="s">
        <v>99</v>
      </c>
    </row>
    <row r="148" spans="1:13" s="13" customFormat="1" ht="18" customHeight="1" x14ac:dyDescent="0.2">
      <c r="A148" s="3" t="s">
        <v>388</v>
      </c>
      <c r="B148" s="3"/>
      <c r="C148" s="3" t="s">
        <v>389</v>
      </c>
      <c r="D148" s="4" t="s">
        <v>1121</v>
      </c>
      <c r="E148" s="4" t="s">
        <v>1121</v>
      </c>
      <c r="F148" s="16" t="s">
        <v>13</v>
      </c>
      <c r="G148" s="5" t="s">
        <v>13</v>
      </c>
      <c r="H148" s="5" t="s">
        <v>163</v>
      </c>
      <c r="I148" s="6">
        <v>2302060</v>
      </c>
      <c r="J148" s="7">
        <v>44952</v>
      </c>
      <c r="K148" s="7">
        <f>J148+360</f>
        <v>45312</v>
      </c>
      <c r="L148" s="17" t="s">
        <v>99</v>
      </c>
    </row>
    <row r="149" spans="1:13" s="13" customFormat="1" ht="18" customHeight="1" x14ac:dyDescent="0.2">
      <c r="A149" s="3" t="s">
        <v>388</v>
      </c>
      <c r="B149" s="3"/>
      <c r="C149" s="3" t="s">
        <v>389</v>
      </c>
      <c r="D149" s="4" t="s">
        <v>1122</v>
      </c>
      <c r="E149" s="4" t="s">
        <v>1122</v>
      </c>
      <c r="F149" s="16" t="s">
        <v>13</v>
      </c>
      <c r="G149" s="5" t="s">
        <v>13</v>
      </c>
      <c r="H149" s="5" t="s">
        <v>163</v>
      </c>
      <c r="I149" s="6">
        <v>2302061</v>
      </c>
      <c r="J149" s="7">
        <v>44952</v>
      </c>
      <c r="K149" s="7">
        <f>J149+360</f>
        <v>45312</v>
      </c>
      <c r="L149" s="17" t="s">
        <v>99</v>
      </c>
    </row>
    <row r="150" spans="1:13" s="13" customFormat="1" ht="18" customHeight="1" x14ac:dyDescent="0.2">
      <c r="A150" s="3" t="s">
        <v>388</v>
      </c>
      <c r="B150" s="3"/>
      <c r="C150" s="3" t="s">
        <v>297</v>
      </c>
      <c r="D150" s="5" t="s">
        <v>1119</v>
      </c>
      <c r="E150" s="5" t="s">
        <v>1119</v>
      </c>
      <c r="F150" s="16" t="s">
        <v>13</v>
      </c>
      <c r="G150" s="5" t="s">
        <v>45</v>
      </c>
      <c r="H150" s="5" t="s">
        <v>163</v>
      </c>
      <c r="I150" s="6">
        <v>2302062</v>
      </c>
      <c r="J150" s="7">
        <v>44952</v>
      </c>
      <c r="K150" s="7">
        <f>J150+365</f>
        <v>45317</v>
      </c>
      <c r="L150" s="17" t="s">
        <v>99</v>
      </c>
    </row>
    <row r="151" spans="1:13" s="13" customFormat="1" ht="18" customHeight="1" x14ac:dyDescent="0.2">
      <c r="A151" s="3" t="s">
        <v>388</v>
      </c>
      <c r="B151" s="3"/>
      <c r="C151" s="3" t="s">
        <v>297</v>
      </c>
      <c r="D151" s="5" t="s">
        <v>1120</v>
      </c>
      <c r="E151" s="5" t="s">
        <v>1119</v>
      </c>
      <c r="F151" s="16" t="s">
        <v>13</v>
      </c>
      <c r="G151" s="5" t="s">
        <v>45</v>
      </c>
      <c r="H151" s="5" t="s">
        <v>163</v>
      </c>
      <c r="I151" s="6">
        <v>2302063</v>
      </c>
      <c r="J151" s="7">
        <v>44952</v>
      </c>
      <c r="K151" s="7">
        <f>J151+365</f>
        <v>45317</v>
      </c>
      <c r="L151" s="17" t="s">
        <v>99</v>
      </c>
    </row>
    <row r="152" spans="1:13" s="13" customFormat="1" ht="18" customHeight="1" x14ac:dyDescent="0.2">
      <c r="A152" s="3" t="s">
        <v>487</v>
      </c>
      <c r="B152" s="3"/>
      <c r="C152" s="3" t="s">
        <v>13</v>
      </c>
      <c r="D152" s="4" t="s">
        <v>402</v>
      </c>
      <c r="E152" s="4" t="s">
        <v>402</v>
      </c>
      <c r="F152" s="16" t="s">
        <v>13</v>
      </c>
      <c r="G152" s="5" t="s">
        <v>13</v>
      </c>
      <c r="H152" s="5" t="s">
        <v>16</v>
      </c>
      <c r="I152" s="6" t="s">
        <v>488</v>
      </c>
      <c r="J152" s="7">
        <v>44020</v>
      </c>
      <c r="K152" s="7">
        <f>J152+360</f>
        <v>44380</v>
      </c>
      <c r="L152" s="17" t="s">
        <v>99</v>
      </c>
    </row>
    <row r="153" spans="1:13" s="13" customFormat="1" ht="18" customHeight="1" x14ac:dyDescent="0.2">
      <c r="A153" s="3" t="s">
        <v>487</v>
      </c>
      <c r="B153" s="3" t="s">
        <v>1528</v>
      </c>
      <c r="C153" s="3" t="s">
        <v>297</v>
      </c>
      <c r="D153" s="4" t="s">
        <v>1529</v>
      </c>
      <c r="E153" s="4" t="s">
        <v>1529</v>
      </c>
      <c r="F153" s="16" t="s">
        <v>13</v>
      </c>
      <c r="G153" s="5" t="s">
        <v>13</v>
      </c>
      <c r="H153" s="5" t="s">
        <v>163</v>
      </c>
      <c r="I153" s="6">
        <v>2506017</v>
      </c>
      <c r="J153" s="7">
        <v>45715</v>
      </c>
      <c r="K153" s="7">
        <f t="shared" ref="K153:K156" si="9">J153+360</f>
        <v>46075</v>
      </c>
      <c r="L153" s="17" t="s">
        <v>99</v>
      </c>
    </row>
    <row r="154" spans="1:13" s="13" customFormat="1" ht="18" customHeight="1" x14ac:dyDescent="0.2">
      <c r="A154" s="3" t="s">
        <v>487</v>
      </c>
      <c r="B154" s="3" t="s">
        <v>1533</v>
      </c>
      <c r="C154" s="3" t="s">
        <v>297</v>
      </c>
      <c r="D154" s="4" t="s">
        <v>1530</v>
      </c>
      <c r="E154" s="4" t="s">
        <v>1530</v>
      </c>
      <c r="F154" s="16" t="s">
        <v>13</v>
      </c>
      <c r="G154" s="5" t="s">
        <v>13</v>
      </c>
      <c r="H154" s="5" t="s">
        <v>163</v>
      </c>
      <c r="I154" s="6">
        <v>2506018</v>
      </c>
      <c r="J154" s="7">
        <v>45715</v>
      </c>
      <c r="K154" s="7">
        <f t="shared" si="9"/>
        <v>46075</v>
      </c>
      <c r="L154" s="17" t="s">
        <v>99</v>
      </c>
    </row>
    <row r="155" spans="1:13" s="13" customFormat="1" ht="18" customHeight="1" x14ac:dyDescent="0.2">
      <c r="A155" s="3" t="s">
        <v>487</v>
      </c>
      <c r="B155" s="3" t="s">
        <v>1534</v>
      </c>
      <c r="C155" s="3" t="s">
        <v>297</v>
      </c>
      <c r="D155" s="4" t="s">
        <v>1531</v>
      </c>
      <c r="E155" s="4" t="s">
        <v>1531</v>
      </c>
      <c r="F155" s="16" t="s">
        <v>13</v>
      </c>
      <c r="G155" s="5" t="s">
        <v>13</v>
      </c>
      <c r="H155" s="5" t="s">
        <v>163</v>
      </c>
      <c r="I155" s="6">
        <v>2506019</v>
      </c>
      <c r="J155" s="7">
        <v>45715</v>
      </c>
      <c r="K155" s="7">
        <f t="shared" si="9"/>
        <v>46075</v>
      </c>
      <c r="L155" s="17" t="s">
        <v>99</v>
      </c>
    </row>
    <row r="156" spans="1:13" s="13" customFormat="1" ht="18" customHeight="1" x14ac:dyDescent="0.2">
      <c r="A156" s="3" t="s">
        <v>487</v>
      </c>
      <c r="B156" s="3" t="s">
        <v>1535</v>
      </c>
      <c r="C156" s="3" t="s">
        <v>297</v>
      </c>
      <c r="D156" s="4" t="s">
        <v>1532</v>
      </c>
      <c r="E156" s="4" t="s">
        <v>1532</v>
      </c>
      <c r="F156" s="16" t="s">
        <v>13</v>
      </c>
      <c r="G156" s="5" t="s">
        <v>13</v>
      </c>
      <c r="H156" s="5" t="s">
        <v>163</v>
      </c>
      <c r="I156" s="6">
        <v>2506020</v>
      </c>
      <c r="J156" s="7">
        <v>45715</v>
      </c>
      <c r="K156" s="7">
        <f t="shared" si="9"/>
        <v>46075</v>
      </c>
      <c r="L156" s="17" t="s">
        <v>99</v>
      </c>
    </row>
    <row r="157" spans="1:13" s="13" customFormat="1" ht="18" customHeight="1" x14ac:dyDescent="0.2">
      <c r="A157" s="3" t="s">
        <v>487</v>
      </c>
      <c r="B157" s="3" t="s">
        <v>1527</v>
      </c>
      <c r="C157" s="3" t="s">
        <v>297</v>
      </c>
      <c r="D157" s="4" t="s">
        <v>442</v>
      </c>
      <c r="E157" s="4" t="s">
        <v>442</v>
      </c>
      <c r="F157" s="16" t="s">
        <v>13</v>
      </c>
      <c r="G157" s="5" t="s">
        <v>13</v>
      </c>
      <c r="H157" s="5" t="s">
        <v>163</v>
      </c>
      <c r="I157" s="6">
        <v>2506021</v>
      </c>
      <c r="J157" s="7">
        <v>45715</v>
      </c>
      <c r="K157" s="7">
        <f>J157+360</f>
        <v>46075</v>
      </c>
      <c r="L157" s="17" t="s">
        <v>99</v>
      </c>
    </row>
    <row r="158" spans="1:13" s="13" customFormat="1" ht="18" customHeight="1" x14ac:dyDescent="0.2">
      <c r="A158" s="3" t="s">
        <v>487</v>
      </c>
      <c r="B158" s="3" t="s">
        <v>1526</v>
      </c>
      <c r="C158" s="3" t="s">
        <v>297</v>
      </c>
      <c r="D158" s="4" t="s">
        <v>440</v>
      </c>
      <c r="E158" s="4" t="s">
        <v>440</v>
      </c>
      <c r="F158" s="16" t="s">
        <v>13</v>
      </c>
      <c r="G158" s="5" t="s">
        <v>13</v>
      </c>
      <c r="H158" s="5" t="s">
        <v>163</v>
      </c>
      <c r="I158" s="6">
        <v>2506022</v>
      </c>
      <c r="J158" s="7">
        <v>45715</v>
      </c>
      <c r="K158" s="7">
        <f>J158+360</f>
        <v>46075</v>
      </c>
      <c r="L158" s="17" t="s">
        <v>99</v>
      </c>
    </row>
    <row r="159" spans="1:13" s="15" customFormat="1" ht="18" customHeight="1" x14ac:dyDescent="0.2">
      <c r="A159" s="3" t="s">
        <v>821</v>
      </c>
      <c r="B159" s="3"/>
      <c r="C159" s="3" t="s">
        <v>822</v>
      </c>
      <c r="D159" s="4">
        <v>593</v>
      </c>
      <c r="E159" s="4">
        <v>593</v>
      </c>
      <c r="F159" s="4">
        <v>754</v>
      </c>
      <c r="G159" s="16" t="s">
        <v>843</v>
      </c>
      <c r="H159" s="5" t="s">
        <v>822</v>
      </c>
      <c r="I159" s="6" t="s">
        <v>844</v>
      </c>
      <c r="J159" s="7">
        <v>44589</v>
      </c>
      <c r="K159" s="7">
        <f t="shared" ref="K159:K166" si="10">J159+540</f>
        <v>45129</v>
      </c>
      <c r="L159" s="17" t="s">
        <v>99</v>
      </c>
      <c r="M159" s="13"/>
    </row>
    <row r="160" spans="1:13" s="14" customFormat="1" ht="18" customHeight="1" x14ac:dyDescent="0.2">
      <c r="A160" s="3" t="s">
        <v>821</v>
      </c>
      <c r="B160" s="3"/>
      <c r="C160" s="3" t="s">
        <v>169</v>
      </c>
      <c r="D160" s="74">
        <v>1828</v>
      </c>
      <c r="E160" s="4">
        <v>1828</v>
      </c>
      <c r="F160" s="16" t="s">
        <v>882</v>
      </c>
      <c r="G160" s="5" t="s">
        <v>883</v>
      </c>
      <c r="H160" s="5" t="s">
        <v>163</v>
      </c>
      <c r="I160" s="42">
        <v>2415430</v>
      </c>
      <c r="J160" s="7">
        <v>45464</v>
      </c>
      <c r="K160" s="7">
        <f t="shared" si="10"/>
        <v>46004</v>
      </c>
      <c r="L160" s="17" t="s">
        <v>1257</v>
      </c>
      <c r="M160" s="13"/>
    </row>
    <row r="161" spans="1:13" s="14" customFormat="1" ht="18" customHeight="1" x14ac:dyDescent="0.2">
      <c r="A161" s="3" t="s">
        <v>821</v>
      </c>
      <c r="B161" s="3"/>
      <c r="C161" s="3" t="s">
        <v>169</v>
      </c>
      <c r="D161" s="4">
        <v>1973</v>
      </c>
      <c r="E161" s="4">
        <v>1973</v>
      </c>
      <c r="F161" s="16" t="s">
        <v>351</v>
      </c>
      <c r="G161" s="5" t="s">
        <v>373</v>
      </c>
      <c r="H161" s="5" t="s">
        <v>169</v>
      </c>
      <c r="I161" s="6" t="s">
        <v>878</v>
      </c>
      <c r="J161" s="7">
        <v>44680</v>
      </c>
      <c r="K161" s="7">
        <f t="shared" si="10"/>
        <v>45220</v>
      </c>
      <c r="L161" s="17" t="s">
        <v>99</v>
      </c>
      <c r="M161" s="13"/>
    </row>
    <row r="162" spans="1:13" s="13" customFormat="1" ht="18" customHeight="1" x14ac:dyDescent="0.2">
      <c r="A162" s="3" t="s">
        <v>821</v>
      </c>
      <c r="B162" s="3"/>
      <c r="C162" s="3" t="s">
        <v>381</v>
      </c>
      <c r="D162" s="74">
        <v>1986</v>
      </c>
      <c r="E162" s="4">
        <v>1986</v>
      </c>
      <c r="F162" s="16" t="s">
        <v>382</v>
      </c>
      <c r="G162" s="5" t="s">
        <v>170</v>
      </c>
      <c r="H162" s="5" t="s">
        <v>163</v>
      </c>
      <c r="I162" s="42">
        <v>2415431</v>
      </c>
      <c r="J162" s="7">
        <v>45464</v>
      </c>
      <c r="K162" s="7">
        <f>J162+540</f>
        <v>46004</v>
      </c>
      <c r="L162" s="17" t="s">
        <v>1257</v>
      </c>
    </row>
    <row r="163" spans="1:13" s="14" customFormat="1" ht="18" customHeight="1" x14ac:dyDescent="0.2">
      <c r="A163" s="3" t="s">
        <v>821</v>
      </c>
      <c r="B163" s="3"/>
      <c r="C163" s="3" t="s">
        <v>822</v>
      </c>
      <c r="D163" s="74">
        <v>1987</v>
      </c>
      <c r="E163" s="4">
        <v>1987</v>
      </c>
      <c r="F163" s="16" t="s">
        <v>842</v>
      </c>
      <c r="G163" s="5" t="s">
        <v>170</v>
      </c>
      <c r="H163" s="5" t="s">
        <v>163</v>
      </c>
      <c r="I163" s="42">
        <v>2438033</v>
      </c>
      <c r="J163" s="7">
        <v>45621</v>
      </c>
      <c r="K163" s="7">
        <f>J163+540</f>
        <v>46161</v>
      </c>
      <c r="L163" s="17" t="s">
        <v>1257</v>
      </c>
      <c r="M163" s="13"/>
    </row>
    <row r="164" spans="1:13" s="13" customFormat="1" ht="18" customHeight="1" x14ac:dyDescent="0.2">
      <c r="A164" s="3" t="s">
        <v>821</v>
      </c>
      <c r="B164" s="3"/>
      <c r="C164" s="3" t="s">
        <v>381</v>
      </c>
      <c r="D164" s="4">
        <v>1988</v>
      </c>
      <c r="E164" s="4">
        <v>1988</v>
      </c>
      <c r="F164" s="16" t="s">
        <v>383</v>
      </c>
      <c r="G164" s="5" t="s">
        <v>170</v>
      </c>
      <c r="H164" s="5" t="s">
        <v>375</v>
      </c>
      <c r="I164" s="6" t="s">
        <v>384</v>
      </c>
      <c r="J164" s="7">
        <v>44004</v>
      </c>
      <c r="K164" s="7">
        <f t="shared" si="10"/>
        <v>44544</v>
      </c>
      <c r="L164" s="17" t="s">
        <v>99</v>
      </c>
    </row>
    <row r="165" spans="1:13" s="13" customFormat="1" ht="18" customHeight="1" x14ac:dyDescent="0.2">
      <c r="A165" s="3" t="s">
        <v>821</v>
      </c>
      <c r="B165" s="3"/>
      <c r="C165" s="3" t="s">
        <v>822</v>
      </c>
      <c r="D165" s="4" t="s">
        <v>103</v>
      </c>
      <c r="E165" s="4">
        <v>759</v>
      </c>
      <c r="F165" s="16">
        <v>759</v>
      </c>
      <c r="G165" s="5" t="s">
        <v>823</v>
      </c>
      <c r="H165" s="5" t="s">
        <v>822</v>
      </c>
      <c r="I165" s="6" t="s">
        <v>824</v>
      </c>
      <c r="J165" s="7">
        <v>44274</v>
      </c>
      <c r="K165" s="7">
        <f t="shared" si="10"/>
        <v>44814</v>
      </c>
      <c r="L165" s="17" t="s">
        <v>99</v>
      </c>
    </row>
    <row r="166" spans="1:13" s="15" customFormat="1" ht="18" customHeight="1" x14ac:dyDescent="0.2">
      <c r="A166" s="3" t="s">
        <v>821</v>
      </c>
      <c r="B166" s="3"/>
      <c r="C166" s="3" t="s">
        <v>822</v>
      </c>
      <c r="D166" s="4" t="s">
        <v>103</v>
      </c>
      <c r="E166" s="4">
        <v>1407</v>
      </c>
      <c r="F166" s="16">
        <v>1407</v>
      </c>
      <c r="G166" s="5" t="s">
        <v>195</v>
      </c>
      <c r="H166" s="5" t="s">
        <v>822</v>
      </c>
      <c r="I166" s="23">
        <v>44317</v>
      </c>
      <c r="J166" s="7">
        <v>44204</v>
      </c>
      <c r="K166" s="7">
        <f t="shared" si="10"/>
        <v>44744</v>
      </c>
      <c r="L166" s="17" t="s">
        <v>99</v>
      </c>
      <c r="M166" s="13"/>
    </row>
    <row r="167" spans="1:13" s="13" customFormat="1" ht="18" customHeight="1" x14ac:dyDescent="0.2">
      <c r="A167" s="65" t="s">
        <v>75</v>
      </c>
      <c r="B167" s="3"/>
      <c r="C167" s="3" t="s">
        <v>8</v>
      </c>
      <c r="D167" s="74">
        <v>776</v>
      </c>
      <c r="E167" s="4">
        <v>776</v>
      </c>
      <c r="F167" s="16">
        <v>1011000283</v>
      </c>
      <c r="G167" s="5" t="s">
        <v>81</v>
      </c>
      <c r="H167" s="5" t="s">
        <v>163</v>
      </c>
      <c r="I167" s="42">
        <v>2305360</v>
      </c>
      <c r="J167" s="7">
        <v>44995</v>
      </c>
      <c r="K167" s="7">
        <f>J167+900</f>
        <v>45895</v>
      </c>
      <c r="L167" s="17" t="s">
        <v>1257</v>
      </c>
    </row>
    <row r="168" spans="1:13" s="14" customFormat="1" ht="18" customHeight="1" x14ac:dyDescent="0.2">
      <c r="A168" s="3" t="s">
        <v>75</v>
      </c>
      <c r="B168" s="3"/>
      <c r="C168" s="3" t="s">
        <v>76</v>
      </c>
      <c r="D168" s="4" t="s">
        <v>136</v>
      </c>
      <c r="E168" s="4" t="s">
        <v>136</v>
      </c>
      <c r="F168" s="16" t="s">
        <v>13</v>
      </c>
      <c r="G168" s="5" t="s">
        <v>81</v>
      </c>
      <c r="H168" s="5" t="s">
        <v>67</v>
      </c>
      <c r="I168" s="6">
        <v>1800619</v>
      </c>
      <c r="J168" s="7">
        <v>43137</v>
      </c>
      <c r="K168" s="7">
        <f>J168+720</f>
        <v>43857</v>
      </c>
      <c r="L168" s="17" t="s">
        <v>99</v>
      </c>
      <c r="M168" s="13"/>
    </row>
    <row r="169" spans="1:13" s="15" customFormat="1" ht="18" customHeight="1" x14ac:dyDescent="0.2">
      <c r="A169" s="3" t="s">
        <v>603</v>
      </c>
      <c r="B169" s="3"/>
      <c r="C169" s="3" t="s">
        <v>76</v>
      </c>
      <c r="D169" s="4">
        <v>1252</v>
      </c>
      <c r="E169" s="4">
        <v>1252</v>
      </c>
      <c r="F169" s="16" t="s">
        <v>80</v>
      </c>
      <c r="G169" s="5" t="s">
        <v>602</v>
      </c>
      <c r="H169" s="5" t="s">
        <v>163</v>
      </c>
      <c r="I169" s="42">
        <v>2224238</v>
      </c>
      <c r="J169" s="7">
        <v>44854</v>
      </c>
      <c r="K169" s="7">
        <f>J169+720</f>
        <v>45574</v>
      </c>
      <c r="L169" s="17" t="s">
        <v>99</v>
      </c>
      <c r="M169" s="13"/>
    </row>
    <row r="170" spans="1:13" s="15" customFormat="1" ht="18" customHeight="1" x14ac:dyDescent="0.2">
      <c r="A170" s="3" t="s">
        <v>884</v>
      </c>
      <c r="B170" s="3" t="s">
        <v>1114</v>
      </c>
      <c r="C170" s="3" t="s">
        <v>113</v>
      </c>
      <c r="D170" s="5">
        <v>30</v>
      </c>
      <c r="E170" s="5">
        <v>30</v>
      </c>
      <c r="F170" s="5" t="s">
        <v>13</v>
      </c>
      <c r="G170" s="5" t="s">
        <v>1115</v>
      </c>
      <c r="H170" s="5" t="s">
        <v>163</v>
      </c>
      <c r="I170" s="6">
        <v>2227309</v>
      </c>
      <c r="J170" s="7">
        <v>44889</v>
      </c>
      <c r="K170" s="7">
        <f t="shared" ref="K170:K201" si="11">J170+90</f>
        <v>44979</v>
      </c>
      <c r="L170" s="17" t="s">
        <v>99</v>
      </c>
      <c r="M170" s="13"/>
    </row>
    <row r="171" spans="1:13" s="15" customFormat="1" ht="18" customHeight="1" x14ac:dyDescent="0.2">
      <c r="A171" s="3" t="s">
        <v>884</v>
      </c>
      <c r="B171" s="3"/>
      <c r="C171" s="3" t="s">
        <v>113</v>
      </c>
      <c r="D171" s="4">
        <v>31</v>
      </c>
      <c r="E171" s="4" t="s">
        <v>114</v>
      </c>
      <c r="F171" s="16" t="s">
        <v>13</v>
      </c>
      <c r="G171" s="5" t="s">
        <v>13</v>
      </c>
      <c r="H171" s="5" t="s">
        <v>163</v>
      </c>
      <c r="I171" s="6">
        <v>2215519</v>
      </c>
      <c r="J171" s="7">
        <v>44750</v>
      </c>
      <c r="K171" s="7">
        <f t="shared" si="11"/>
        <v>44840</v>
      </c>
      <c r="L171" s="17" t="s">
        <v>99</v>
      </c>
      <c r="M171" s="13"/>
    </row>
    <row r="172" spans="1:13" s="15" customFormat="1" ht="18" customHeight="1" x14ac:dyDescent="0.2">
      <c r="A172" s="3" t="s">
        <v>884</v>
      </c>
      <c r="B172" s="3" t="s">
        <v>1190</v>
      </c>
      <c r="C172" s="3" t="s">
        <v>113</v>
      </c>
      <c r="D172" s="4">
        <v>238</v>
      </c>
      <c r="E172" s="4" t="s">
        <v>514</v>
      </c>
      <c r="F172" s="16">
        <v>100563</v>
      </c>
      <c r="G172" s="5" t="s">
        <v>13</v>
      </c>
      <c r="H172" s="5" t="s">
        <v>163</v>
      </c>
      <c r="I172" s="6">
        <v>2304976</v>
      </c>
      <c r="J172" s="7">
        <v>44987</v>
      </c>
      <c r="K172" s="7">
        <f t="shared" si="11"/>
        <v>45077</v>
      </c>
      <c r="L172" s="17" t="s">
        <v>99</v>
      </c>
      <c r="M172" s="13"/>
    </row>
    <row r="173" spans="1:13" s="15" customFormat="1" ht="18" customHeight="1" x14ac:dyDescent="0.2">
      <c r="A173" s="3" t="s">
        <v>884</v>
      </c>
      <c r="B173" s="3" t="s">
        <v>1189</v>
      </c>
      <c r="C173" s="3" t="s">
        <v>1191</v>
      </c>
      <c r="D173" s="4">
        <v>243</v>
      </c>
      <c r="E173" s="4">
        <v>243</v>
      </c>
      <c r="F173" s="16">
        <v>100563</v>
      </c>
      <c r="G173" s="5" t="s">
        <v>13</v>
      </c>
      <c r="H173" s="5" t="s">
        <v>163</v>
      </c>
      <c r="I173" s="6">
        <v>2304978</v>
      </c>
      <c r="J173" s="7">
        <v>44987</v>
      </c>
      <c r="K173" s="7">
        <f t="shared" si="11"/>
        <v>45077</v>
      </c>
      <c r="L173" s="17" t="s">
        <v>99</v>
      </c>
      <c r="M173" s="13"/>
    </row>
    <row r="174" spans="1:13" s="15" customFormat="1" ht="18" customHeight="1" x14ac:dyDescent="0.2">
      <c r="A174" s="3" t="s">
        <v>884</v>
      </c>
      <c r="B174" s="3" t="s">
        <v>1071</v>
      </c>
      <c r="C174" s="3" t="s">
        <v>115</v>
      </c>
      <c r="D174" s="4">
        <v>337</v>
      </c>
      <c r="E174" s="4">
        <v>337</v>
      </c>
      <c r="F174" s="16" t="s">
        <v>13</v>
      </c>
      <c r="G174" s="16" t="s">
        <v>13</v>
      </c>
      <c r="H174" s="5" t="s">
        <v>163</v>
      </c>
      <c r="I174" s="6">
        <v>2227307</v>
      </c>
      <c r="J174" s="7">
        <v>44889</v>
      </c>
      <c r="K174" s="7">
        <f t="shared" si="11"/>
        <v>44979</v>
      </c>
      <c r="L174" s="17" t="s">
        <v>99</v>
      </c>
      <c r="M174" s="13"/>
    </row>
    <row r="175" spans="1:13" s="15" customFormat="1" ht="18" customHeight="1" x14ac:dyDescent="0.2">
      <c r="A175" s="3" t="s">
        <v>884</v>
      </c>
      <c r="B175" s="3"/>
      <c r="C175" s="3" t="s">
        <v>62</v>
      </c>
      <c r="D175" s="4">
        <v>1533</v>
      </c>
      <c r="E175" s="4">
        <v>1533</v>
      </c>
      <c r="F175" s="16">
        <v>30904</v>
      </c>
      <c r="G175" s="5" t="s">
        <v>63</v>
      </c>
      <c r="H175" s="5" t="s">
        <v>16</v>
      </c>
      <c r="I175" s="6" t="s">
        <v>839</v>
      </c>
      <c r="J175" s="7">
        <v>44334</v>
      </c>
      <c r="K175" s="7">
        <f t="shared" si="11"/>
        <v>44424</v>
      </c>
      <c r="L175" s="17" t="s">
        <v>99</v>
      </c>
      <c r="M175" s="13"/>
    </row>
    <row r="176" spans="1:13" s="15" customFormat="1" ht="18" customHeight="1" x14ac:dyDescent="0.2">
      <c r="A176" s="3" t="s">
        <v>884</v>
      </c>
      <c r="B176" s="3"/>
      <c r="C176" s="3" t="s">
        <v>62</v>
      </c>
      <c r="D176" s="74">
        <v>1534</v>
      </c>
      <c r="E176" s="4">
        <v>1534</v>
      </c>
      <c r="F176" s="16">
        <v>30833</v>
      </c>
      <c r="G176" s="5" t="s">
        <v>13</v>
      </c>
      <c r="H176" s="5" t="s">
        <v>163</v>
      </c>
      <c r="I176" s="6">
        <v>2503383</v>
      </c>
      <c r="J176" s="7">
        <v>45698</v>
      </c>
      <c r="K176" s="7">
        <f t="shared" si="11"/>
        <v>45788</v>
      </c>
      <c r="L176" s="17" t="s">
        <v>1257</v>
      </c>
      <c r="M176" s="13"/>
    </row>
    <row r="177" spans="1:13" s="15" customFormat="1" ht="18" customHeight="1" x14ac:dyDescent="0.2">
      <c r="A177" s="3" t="s">
        <v>884</v>
      </c>
      <c r="B177" s="3" t="s">
        <v>1068</v>
      </c>
      <c r="C177" s="21" t="s">
        <v>719</v>
      </c>
      <c r="D177" s="74">
        <v>1536</v>
      </c>
      <c r="E177" s="4">
        <v>1536</v>
      </c>
      <c r="F177" s="16" t="s">
        <v>13</v>
      </c>
      <c r="G177" s="5" t="s">
        <v>194</v>
      </c>
      <c r="H177" s="5" t="s">
        <v>1580</v>
      </c>
      <c r="I177" s="42" t="s">
        <v>1601</v>
      </c>
      <c r="J177" s="7">
        <v>45847</v>
      </c>
      <c r="K177" s="7">
        <f t="shared" si="11"/>
        <v>45937</v>
      </c>
      <c r="L177" s="17" t="s">
        <v>1257</v>
      </c>
      <c r="M177" s="13"/>
    </row>
    <row r="178" spans="1:13" s="15" customFormat="1" ht="18" customHeight="1" x14ac:dyDescent="0.2">
      <c r="A178" s="3" t="s">
        <v>884</v>
      </c>
      <c r="B178" s="3" t="s">
        <v>1068</v>
      </c>
      <c r="C178" s="3" t="s">
        <v>62</v>
      </c>
      <c r="D178" s="74" t="s">
        <v>515</v>
      </c>
      <c r="E178" s="4" t="s">
        <v>515</v>
      </c>
      <c r="F178" s="16">
        <v>30902</v>
      </c>
      <c r="G178" s="5" t="s">
        <v>194</v>
      </c>
      <c r="H178" s="5" t="s">
        <v>1580</v>
      </c>
      <c r="I178" s="42" t="s">
        <v>1602</v>
      </c>
      <c r="J178" s="7">
        <v>45847</v>
      </c>
      <c r="K178" s="7">
        <f t="shared" si="11"/>
        <v>45937</v>
      </c>
      <c r="L178" s="17" t="s">
        <v>1257</v>
      </c>
      <c r="M178" s="13"/>
    </row>
    <row r="179" spans="1:13" s="15" customFormat="1" ht="18" customHeight="1" x14ac:dyDescent="0.2">
      <c r="A179" s="3" t="s">
        <v>884</v>
      </c>
      <c r="B179" s="3" t="s">
        <v>1099</v>
      </c>
      <c r="C179" s="3" t="s">
        <v>62</v>
      </c>
      <c r="D179" s="4">
        <v>1538</v>
      </c>
      <c r="E179" s="4">
        <v>1538</v>
      </c>
      <c r="F179" s="16" t="s">
        <v>13</v>
      </c>
      <c r="G179" s="5" t="s">
        <v>194</v>
      </c>
      <c r="H179" s="5" t="s">
        <v>163</v>
      </c>
      <c r="I179" s="6">
        <v>2304191</v>
      </c>
      <c r="J179" s="7">
        <v>44976</v>
      </c>
      <c r="K179" s="7">
        <f t="shared" si="11"/>
        <v>45066</v>
      </c>
      <c r="L179" s="17" t="s">
        <v>99</v>
      </c>
      <c r="M179" s="13"/>
    </row>
    <row r="180" spans="1:13" s="15" customFormat="1" ht="18" customHeight="1" x14ac:dyDescent="0.2">
      <c r="A180" s="3" t="s">
        <v>884</v>
      </c>
      <c r="B180" s="3" t="s">
        <v>1069</v>
      </c>
      <c r="C180" s="3" t="s">
        <v>327</v>
      </c>
      <c r="D180" s="66">
        <v>1776</v>
      </c>
      <c r="E180" s="4">
        <v>1776</v>
      </c>
      <c r="F180" s="16" t="s">
        <v>13</v>
      </c>
      <c r="G180" s="5" t="s">
        <v>13</v>
      </c>
      <c r="H180" s="5" t="s">
        <v>163</v>
      </c>
      <c r="I180" s="6">
        <v>2518910</v>
      </c>
      <c r="J180" s="7">
        <v>45825</v>
      </c>
      <c r="K180" s="7">
        <f t="shared" si="11"/>
        <v>45915</v>
      </c>
      <c r="L180" s="17" t="s">
        <v>99</v>
      </c>
      <c r="M180" s="13"/>
    </row>
    <row r="181" spans="1:13" s="15" customFormat="1" ht="18" customHeight="1" x14ac:dyDescent="0.2">
      <c r="A181" s="3" t="s">
        <v>884</v>
      </c>
      <c r="B181" s="3" t="s">
        <v>1072</v>
      </c>
      <c r="C181" s="3" t="s">
        <v>887</v>
      </c>
      <c r="D181" s="4">
        <v>1868</v>
      </c>
      <c r="E181" s="4">
        <v>1868</v>
      </c>
      <c r="F181" s="16" t="s">
        <v>13</v>
      </c>
      <c r="G181" s="5" t="s">
        <v>194</v>
      </c>
      <c r="H181" s="5" t="s">
        <v>163</v>
      </c>
      <c r="I181" s="6">
        <v>2317942</v>
      </c>
      <c r="J181" s="7">
        <v>45118</v>
      </c>
      <c r="K181" s="7">
        <f t="shared" si="11"/>
        <v>45208</v>
      </c>
      <c r="L181" s="17" t="s">
        <v>99</v>
      </c>
      <c r="M181" s="13"/>
    </row>
    <row r="182" spans="1:13" s="15" customFormat="1" ht="18" customHeight="1" x14ac:dyDescent="0.2">
      <c r="A182" s="3" t="s">
        <v>884</v>
      </c>
      <c r="B182" s="3" t="s">
        <v>1193</v>
      </c>
      <c r="C182" s="3" t="s">
        <v>1192</v>
      </c>
      <c r="D182" s="4">
        <v>1997</v>
      </c>
      <c r="E182" s="4">
        <v>1997</v>
      </c>
      <c r="F182" s="16" t="s">
        <v>13</v>
      </c>
      <c r="G182" s="5" t="s">
        <v>13</v>
      </c>
      <c r="H182" s="5" t="s">
        <v>163</v>
      </c>
      <c r="I182" s="6">
        <v>2304979</v>
      </c>
      <c r="J182" s="7">
        <v>44987</v>
      </c>
      <c r="K182" s="7">
        <f t="shared" si="11"/>
        <v>45077</v>
      </c>
      <c r="L182" s="17" t="s">
        <v>99</v>
      </c>
      <c r="M182" s="13"/>
    </row>
    <row r="183" spans="1:13" s="15" customFormat="1" ht="18" customHeight="1" x14ac:dyDescent="0.2">
      <c r="A183" s="3" t="s">
        <v>884</v>
      </c>
      <c r="B183" s="3" t="s">
        <v>1072</v>
      </c>
      <c r="C183" s="3" t="s">
        <v>512</v>
      </c>
      <c r="D183" s="4">
        <v>3054</v>
      </c>
      <c r="E183" s="4" t="s">
        <v>1062</v>
      </c>
      <c r="F183" s="16" t="s">
        <v>13</v>
      </c>
      <c r="G183" s="5" t="s">
        <v>13</v>
      </c>
      <c r="H183" s="5" t="s">
        <v>163</v>
      </c>
      <c r="I183" s="6">
        <v>2304190</v>
      </c>
      <c r="J183" s="7">
        <v>44974</v>
      </c>
      <c r="K183" s="7">
        <f t="shared" si="11"/>
        <v>45064</v>
      </c>
      <c r="L183" s="17" t="s">
        <v>99</v>
      </c>
      <c r="M183" s="13"/>
    </row>
    <row r="184" spans="1:13" s="15" customFormat="1" ht="18" customHeight="1" x14ac:dyDescent="0.2">
      <c r="A184" s="3" t="s">
        <v>884</v>
      </c>
      <c r="B184" s="3" t="s">
        <v>1070</v>
      </c>
      <c r="C184" s="3" t="s">
        <v>189</v>
      </c>
      <c r="D184" s="66">
        <v>6115</v>
      </c>
      <c r="E184" s="62">
        <v>6115</v>
      </c>
      <c r="F184" s="16" t="s">
        <v>13</v>
      </c>
      <c r="G184" s="16" t="s">
        <v>13</v>
      </c>
      <c r="H184" s="5" t="s">
        <v>163</v>
      </c>
      <c r="I184" s="6">
        <v>2521445</v>
      </c>
      <c r="J184" s="7">
        <v>45845</v>
      </c>
      <c r="K184" s="7">
        <f t="shared" si="11"/>
        <v>45935</v>
      </c>
      <c r="L184" s="17" t="s">
        <v>99</v>
      </c>
      <c r="M184" s="13"/>
    </row>
    <row r="185" spans="1:13" s="15" customFormat="1" ht="18" customHeight="1" x14ac:dyDescent="0.2">
      <c r="A185" s="3" t="s">
        <v>884</v>
      </c>
      <c r="B185" s="3"/>
      <c r="C185" s="3" t="s">
        <v>918</v>
      </c>
      <c r="D185" s="62">
        <v>16160</v>
      </c>
      <c r="E185" s="62">
        <v>16160</v>
      </c>
      <c r="F185" s="16" t="s">
        <v>13</v>
      </c>
      <c r="G185" s="16" t="s">
        <v>13</v>
      </c>
      <c r="H185" s="5" t="s">
        <v>163</v>
      </c>
      <c r="I185" s="6">
        <v>2215516</v>
      </c>
      <c r="J185" s="7">
        <v>44750</v>
      </c>
      <c r="K185" s="7">
        <f t="shared" si="11"/>
        <v>44840</v>
      </c>
      <c r="L185" s="17" t="s">
        <v>99</v>
      </c>
      <c r="M185" s="13"/>
    </row>
    <row r="186" spans="1:13" s="15" customFormat="1" ht="18" customHeight="1" x14ac:dyDescent="0.2">
      <c r="A186" s="3" t="s">
        <v>884</v>
      </c>
      <c r="B186" s="3"/>
      <c r="C186" s="3" t="s">
        <v>510</v>
      </c>
      <c r="D186" s="4" t="s">
        <v>511</v>
      </c>
      <c r="E186" s="4" t="s">
        <v>511</v>
      </c>
      <c r="F186" s="16">
        <v>96089</v>
      </c>
      <c r="G186" s="5" t="s">
        <v>13</v>
      </c>
      <c r="H186" s="5" t="s">
        <v>171</v>
      </c>
      <c r="I186" s="6">
        <v>2004660</v>
      </c>
      <c r="J186" s="7">
        <v>44061</v>
      </c>
      <c r="K186" s="7">
        <f t="shared" si="11"/>
        <v>44151</v>
      </c>
      <c r="L186" s="17" t="s">
        <v>99</v>
      </c>
      <c r="M186" s="13"/>
    </row>
    <row r="187" spans="1:13" s="15" customFormat="1" ht="18" customHeight="1" x14ac:dyDescent="0.2">
      <c r="A187" s="3" t="s">
        <v>884</v>
      </c>
      <c r="B187" s="3" t="s">
        <v>1178</v>
      </c>
      <c r="C187" s="3" t="s">
        <v>350</v>
      </c>
      <c r="D187" s="74">
        <v>239787</v>
      </c>
      <c r="E187" s="4">
        <v>239787</v>
      </c>
      <c r="F187" s="16">
        <v>239787</v>
      </c>
      <c r="G187" s="5" t="s">
        <v>13</v>
      </c>
      <c r="H187" s="5" t="s">
        <v>1580</v>
      </c>
      <c r="I187" s="42" t="s">
        <v>1598</v>
      </c>
      <c r="J187" s="7">
        <v>45847</v>
      </c>
      <c r="K187" s="7">
        <f t="shared" si="11"/>
        <v>45937</v>
      </c>
      <c r="L187" s="17" t="s">
        <v>1257</v>
      </c>
      <c r="M187" s="13"/>
    </row>
    <row r="188" spans="1:13" s="15" customFormat="1" ht="18" customHeight="1" x14ac:dyDescent="0.2">
      <c r="A188" s="3" t="s">
        <v>884</v>
      </c>
      <c r="B188" s="3" t="s">
        <v>1450</v>
      </c>
      <c r="C188" s="3" t="s">
        <v>350</v>
      </c>
      <c r="D188" s="74">
        <v>239790</v>
      </c>
      <c r="E188" s="4">
        <v>239790</v>
      </c>
      <c r="F188" s="16" t="s">
        <v>191</v>
      </c>
      <c r="G188" s="5" t="s">
        <v>349</v>
      </c>
      <c r="H188" s="5" t="s">
        <v>1580</v>
      </c>
      <c r="I188" s="6" t="s">
        <v>1596</v>
      </c>
      <c r="J188" s="7">
        <v>45847</v>
      </c>
      <c r="K188" s="7">
        <f t="shared" si="11"/>
        <v>45937</v>
      </c>
      <c r="L188" s="17" t="s">
        <v>1257</v>
      </c>
      <c r="M188" s="13"/>
    </row>
    <row r="189" spans="1:13" s="15" customFormat="1" ht="18" customHeight="1" x14ac:dyDescent="0.2">
      <c r="A189" s="3" t="s">
        <v>884</v>
      </c>
      <c r="B189" s="3" t="s">
        <v>1073</v>
      </c>
      <c r="C189" s="3" t="s">
        <v>350</v>
      </c>
      <c r="D189" s="4">
        <v>239791</v>
      </c>
      <c r="E189" s="4">
        <v>239791</v>
      </c>
      <c r="F189" s="16" t="s">
        <v>903</v>
      </c>
      <c r="G189" s="16" t="s">
        <v>888</v>
      </c>
      <c r="H189" s="5" t="s">
        <v>163</v>
      </c>
      <c r="I189" s="6">
        <v>2304196</v>
      </c>
      <c r="J189" s="7">
        <v>44974</v>
      </c>
      <c r="K189" s="7">
        <f t="shared" si="11"/>
        <v>45064</v>
      </c>
      <c r="L189" s="17" t="s">
        <v>99</v>
      </c>
      <c r="M189" s="13"/>
    </row>
    <row r="190" spans="1:13" s="15" customFormat="1" ht="18" customHeight="1" x14ac:dyDescent="0.2">
      <c r="A190" s="3" t="s">
        <v>884</v>
      </c>
      <c r="B190" s="3" t="s">
        <v>1195</v>
      </c>
      <c r="C190" s="3" t="s">
        <v>350</v>
      </c>
      <c r="D190" s="74">
        <v>239792</v>
      </c>
      <c r="E190" s="4">
        <v>239792</v>
      </c>
      <c r="F190" s="16" t="s">
        <v>1451</v>
      </c>
      <c r="G190" s="16" t="s">
        <v>513</v>
      </c>
      <c r="H190" s="5" t="s">
        <v>1580</v>
      </c>
      <c r="I190" s="6" t="s">
        <v>1603</v>
      </c>
      <c r="J190" s="7">
        <v>45847</v>
      </c>
      <c r="K190" s="7">
        <f t="shared" si="11"/>
        <v>45937</v>
      </c>
      <c r="L190" s="17" t="s">
        <v>1257</v>
      </c>
      <c r="M190" s="13"/>
    </row>
    <row r="191" spans="1:13" s="15" customFormat="1" ht="18" customHeight="1" x14ac:dyDescent="0.2">
      <c r="A191" s="3" t="s">
        <v>884</v>
      </c>
      <c r="B191" s="3" t="s">
        <v>1195</v>
      </c>
      <c r="C191" s="3" t="s">
        <v>350</v>
      </c>
      <c r="D191" s="85">
        <v>239794</v>
      </c>
      <c r="E191" s="86">
        <v>239794</v>
      </c>
      <c r="F191" s="16" t="s">
        <v>192</v>
      </c>
      <c r="G191" s="5" t="s">
        <v>513</v>
      </c>
      <c r="H191" s="5" t="s">
        <v>163</v>
      </c>
      <c r="I191" s="42">
        <v>2503384</v>
      </c>
      <c r="J191" s="7">
        <v>45694</v>
      </c>
      <c r="K191" s="7">
        <f t="shared" si="11"/>
        <v>45784</v>
      </c>
      <c r="L191" s="17" t="s">
        <v>1257</v>
      </c>
      <c r="M191" s="13"/>
    </row>
    <row r="192" spans="1:13" s="15" customFormat="1" ht="18" customHeight="1" x14ac:dyDescent="0.2">
      <c r="A192" s="3" t="s">
        <v>884</v>
      </c>
      <c r="B192" s="3" t="s">
        <v>1195</v>
      </c>
      <c r="C192" s="3" t="s">
        <v>350</v>
      </c>
      <c r="D192" s="74">
        <v>239796</v>
      </c>
      <c r="E192" s="4">
        <v>239796</v>
      </c>
      <c r="F192" s="16" t="s">
        <v>193</v>
      </c>
      <c r="G192" s="5" t="s">
        <v>513</v>
      </c>
      <c r="H192" s="5" t="s">
        <v>1580</v>
      </c>
      <c r="I192" s="42" t="s">
        <v>1604</v>
      </c>
      <c r="J192" s="7">
        <v>45847</v>
      </c>
      <c r="K192" s="7">
        <f t="shared" si="11"/>
        <v>45937</v>
      </c>
      <c r="L192" s="17" t="s">
        <v>1257</v>
      </c>
      <c r="M192" s="13"/>
    </row>
    <row r="193" spans="1:13" s="15" customFormat="1" ht="18" customHeight="1" x14ac:dyDescent="0.2">
      <c r="A193" s="3" t="s">
        <v>884</v>
      </c>
      <c r="B193" s="3" t="s">
        <v>1589</v>
      </c>
      <c r="C193" s="3" t="s">
        <v>350</v>
      </c>
      <c r="D193" s="66">
        <v>351209</v>
      </c>
      <c r="E193" s="62">
        <v>351209</v>
      </c>
      <c r="F193" s="16" t="s">
        <v>889</v>
      </c>
      <c r="G193" s="5" t="s">
        <v>513</v>
      </c>
      <c r="H193" s="5" t="s">
        <v>163</v>
      </c>
      <c r="I193" s="6">
        <v>2518909</v>
      </c>
      <c r="J193" s="7">
        <v>45825</v>
      </c>
      <c r="K193" s="7">
        <f t="shared" si="11"/>
        <v>45915</v>
      </c>
      <c r="L193" s="17" t="s">
        <v>99</v>
      </c>
      <c r="M193" s="13"/>
    </row>
    <row r="194" spans="1:13" s="15" customFormat="1" ht="18" customHeight="1" x14ac:dyDescent="0.2">
      <c r="A194" s="3" t="s">
        <v>884</v>
      </c>
      <c r="B194" s="3" t="s">
        <v>1071</v>
      </c>
      <c r="C194" s="3" t="s">
        <v>350</v>
      </c>
      <c r="D194" s="74">
        <v>351248</v>
      </c>
      <c r="E194" s="4">
        <v>351248</v>
      </c>
      <c r="F194" s="4" t="s">
        <v>890</v>
      </c>
      <c r="G194" s="5" t="s">
        <v>892</v>
      </c>
      <c r="H194" s="5" t="s">
        <v>1580</v>
      </c>
      <c r="I194" s="42" t="s">
        <v>1597</v>
      </c>
      <c r="J194" s="7">
        <v>45847</v>
      </c>
      <c r="K194" s="7">
        <f t="shared" si="11"/>
        <v>45937</v>
      </c>
      <c r="L194" s="17" t="s">
        <v>1257</v>
      </c>
      <c r="M194" s="13"/>
    </row>
    <row r="195" spans="1:13" s="15" customFormat="1" ht="18" customHeight="1" x14ac:dyDescent="0.2">
      <c r="A195" s="3" t="s">
        <v>884</v>
      </c>
      <c r="B195" s="3" t="s">
        <v>1074</v>
      </c>
      <c r="C195" s="3" t="s">
        <v>350</v>
      </c>
      <c r="D195" s="4" t="s">
        <v>891</v>
      </c>
      <c r="E195" s="4" t="s">
        <v>891</v>
      </c>
      <c r="F195" s="4" t="s">
        <v>891</v>
      </c>
      <c r="G195" s="5" t="s">
        <v>892</v>
      </c>
      <c r="H195" s="5" t="s">
        <v>893</v>
      </c>
      <c r="I195" s="6" t="s">
        <v>894</v>
      </c>
      <c r="J195" s="7">
        <v>44715</v>
      </c>
      <c r="K195" s="7">
        <f t="shared" si="11"/>
        <v>44805</v>
      </c>
      <c r="L195" s="17" t="s">
        <v>99</v>
      </c>
      <c r="M195" s="13"/>
    </row>
    <row r="196" spans="1:13" s="15" customFormat="1" ht="18" customHeight="1" x14ac:dyDescent="0.2">
      <c r="A196" s="3" t="s">
        <v>884</v>
      </c>
      <c r="B196" s="3" t="s">
        <v>1073</v>
      </c>
      <c r="C196" s="3" t="s">
        <v>350</v>
      </c>
      <c r="D196" s="4" t="s">
        <v>1254</v>
      </c>
      <c r="E196" s="4" t="s">
        <v>1254</v>
      </c>
      <c r="F196" s="4" t="s">
        <v>1254</v>
      </c>
      <c r="G196" s="5" t="s">
        <v>1252</v>
      </c>
      <c r="H196" s="5" t="s">
        <v>893</v>
      </c>
      <c r="I196" s="6" t="s">
        <v>1255</v>
      </c>
      <c r="J196" s="7">
        <v>45128</v>
      </c>
      <c r="K196" s="7">
        <f t="shared" si="11"/>
        <v>45218</v>
      </c>
      <c r="L196" s="17" t="s">
        <v>99</v>
      </c>
      <c r="M196" s="13"/>
    </row>
    <row r="197" spans="1:13" s="15" customFormat="1" ht="18" customHeight="1" x14ac:dyDescent="0.2">
      <c r="A197" s="3" t="s">
        <v>884</v>
      </c>
      <c r="B197" s="3" t="s">
        <v>1250</v>
      </c>
      <c r="C197" s="3" t="s">
        <v>350</v>
      </c>
      <c r="D197" s="4" t="s">
        <v>1251</v>
      </c>
      <c r="E197" s="4" t="s">
        <v>1251</v>
      </c>
      <c r="F197" s="16" t="s">
        <v>1251</v>
      </c>
      <c r="G197" s="5" t="s">
        <v>1252</v>
      </c>
      <c r="H197" s="5" t="s">
        <v>893</v>
      </c>
      <c r="I197" s="6" t="s">
        <v>1253</v>
      </c>
      <c r="J197" s="7">
        <v>45139</v>
      </c>
      <c r="K197" s="7">
        <f t="shared" si="11"/>
        <v>45229</v>
      </c>
      <c r="L197" s="17" t="s">
        <v>99</v>
      </c>
      <c r="M197" s="13"/>
    </row>
    <row r="198" spans="1:13" s="15" customFormat="1" ht="18" customHeight="1" x14ac:dyDescent="0.2">
      <c r="A198" s="3" t="s">
        <v>884</v>
      </c>
      <c r="B198" s="3" t="s">
        <v>1139</v>
      </c>
      <c r="C198" s="3" t="s">
        <v>1161</v>
      </c>
      <c r="D198" s="5" t="s">
        <v>1145</v>
      </c>
      <c r="E198" s="5" t="s">
        <v>1145</v>
      </c>
      <c r="F198" s="5" t="s">
        <v>13</v>
      </c>
      <c r="G198" s="5" t="s">
        <v>1167</v>
      </c>
      <c r="H198" s="5" t="s">
        <v>163</v>
      </c>
      <c r="I198" s="6">
        <v>2303331</v>
      </c>
      <c r="J198" s="7">
        <v>44971</v>
      </c>
      <c r="K198" s="7">
        <f t="shared" si="11"/>
        <v>45061</v>
      </c>
      <c r="L198" s="17" t="s">
        <v>99</v>
      </c>
      <c r="M198" s="13"/>
    </row>
    <row r="199" spans="1:13" s="15" customFormat="1" ht="18" customHeight="1" x14ac:dyDescent="0.2">
      <c r="A199" s="3" t="s">
        <v>884</v>
      </c>
      <c r="B199" s="3" t="s">
        <v>1139</v>
      </c>
      <c r="C199" s="3" t="s">
        <v>1161</v>
      </c>
      <c r="D199" s="5" t="s">
        <v>1146</v>
      </c>
      <c r="E199" s="5" t="s">
        <v>1146</v>
      </c>
      <c r="F199" s="5" t="s">
        <v>13</v>
      </c>
      <c r="G199" s="5" t="s">
        <v>1167</v>
      </c>
      <c r="H199" s="5" t="s">
        <v>163</v>
      </c>
      <c r="I199" s="6">
        <v>2303332</v>
      </c>
      <c r="J199" s="7">
        <v>44971</v>
      </c>
      <c r="K199" s="7">
        <f t="shared" si="11"/>
        <v>45061</v>
      </c>
      <c r="L199" s="17" t="s">
        <v>99</v>
      </c>
      <c r="M199" s="13"/>
    </row>
    <row r="200" spans="1:13" s="15" customFormat="1" ht="18" customHeight="1" x14ac:dyDescent="0.2">
      <c r="A200" s="3" t="s">
        <v>884</v>
      </c>
      <c r="B200" s="3" t="s">
        <v>1140</v>
      </c>
      <c r="C200" s="3" t="s">
        <v>1162</v>
      </c>
      <c r="D200" s="5" t="s">
        <v>1147</v>
      </c>
      <c r="E200" s="5" t="s">
        <v>1147</v>
      </c>
      <c r="F200" s="5" t="s">
        <v>13</v>
      </c>
      <c r="G200" s="5" t="s">
        <v>13</v>
      </c>
      <c r="H200" s="5" t="s">
        <v>163</v>
      </c>
      <c r="I200" s="6">
        <v>2303333</v>
      </c>
      <c r="J200" s="7">
        <v>44971</v>
      </c>
      <c r="K200" s="7">
        <f t="shared" si="11"/>
        <v>45061</v>
      </c>
      <c r="L200" s="17" t="s">
        <v>99</v>
      </c>
      <c r="M200" s="13"/>
    </row>
    <row r="201" spans="1:13" s="15" customFormat="1" ht="18" customHeight="1" x14ac:dyDescent="0.2">
      <c r="A201" s="3" t="s">
        <v>884</v>
      </c>
      <c r="B201" s="3" t="s">
        <v>1141</v>
      </c>
      <c r="C201" s="3" t="s">
        <v>13</v>
      </c>
      <c r="D201" s="5" t="s">
        <v>1148</v>
      </c>
      <c r="E201" s="5" t="s">
        <v>1148</v>
      </c>
      <c r="F201" s="5" t="s">
        <v>13</v>
      </c>
      <c r="G201" s="5" t="s">
        <v>13</v>
      </c>
      <c r="H201" s="5" t="s">
        <v>163</v>
      </c>
      <c r="I201" s="6">
        <v>2303334</v>
      </c>
      <c r="J201" s="7">
        <v>44971</v>
      </c>
      <c r="K201" s="7">
        <f t="shared" si="11"/>
        <v>45061</v>
      </c>
      <c r="L201" s="17" t="s">
        <v>99</v>
      </c>
      <c r="M201" s="13"/>
    </row>
    <row r="202" spans="1:13" s="15" customFormat="1" ht="18" customHeight="1" x14ac:dyDescent="0.2">
      <c r="A202" s="3" t="s">
        <v>884</v>
      </c>
      <c r="B202" s="3" t="s">
        <v>1141</v>
      </c>
      <c r="C202" s="3" t="s">
        <v>1163</v>
      </c>
      <c r="D202" s="5" t="s">
        <v>1152</v>
      </c>
      <c r="E202" s="5" t="s">
        <v>1152</v>
      </c>
      <c r="F202" s="5" t="s">
        <v>13</v>
      </c>
      <c r="G202" s="5" t="s">
        <v>1168</v>
      </c>
      <c r="H202" s="5" t="s">
        <v>163</v>
      </c>
      <c r="I202" s="6">
        <v>2303335</v>
      </c>
      <c r="J202" s="7">
        <v>44971</v>
      </c>
      <c r="K202" s="7">
        <f t="shared" ref="K202:K229" si="12">J202+90</f>
        <v>45061</v>
      </c>
      <c r="L202" s="17" t="s">
        <v>99</v>
      </c>
      <c r="M202" s="13"/>
    </row>
    <row r="203" spans="1:13" s="15" customFormat="1" ht="18" customHeight="1" x14ac:dyDescent="0.2">
      <c r="A203" s="3" t="s">
        <v>884</v>
      </c>
      <c r="B203" s="3" t="s">
        <v>1142</v>
      </c>
      <c r="C203" s="3" t="s">
        <v>1163</v>
      </c>
      <c r="D203" s="5" t="s">
        <v>1153</v>
      </c>
      <c r="E203" s="5" t="s">
        <v>1153</v>
      </c>
      <c r="F203" s="5" t="s">
        <v>13</v>
      </c>
      <c r="G203" s="5" t="s">
        <v>1168</v>
      </c>
      <c r="H203" s="5" t="s">
        <v>163</v>
      </c>
      <c r="I203" s="6">
        <v>2303336</v>
      </c>
      <c r="J203" s="7">
        <v>44971</v>
      </c>
      <c r="K203" s="7">
        <f t="shared" si="12"/>
        <v>45061</v>
      </c>
      <c r="L203" s="17" t="s">
        <v>99</v>
      </c>
      <c r="M203" s="13"/>
    </row>
    <row r="204" spans="1:13" s="15" customFormat="1" ht="18" customHeight="1" x14ac:dyDescent="0.2">
      <c r="A204" s="3" t="s">
        <v>884</v>
      </c>
      <c r="B204" s="3" t="s">
        <v>1139</v>
      </c>
      <c r="C204" s="3" t="s">
        <v>13</v>
      </c>
      <c r="D204" s="5" t="s">
        <v>1149</v>
      </c>
      <c r="E204" s="5" t="s">
        <v>1149</v>
      </c>
      <c r="F204" s="5" t="s">
        <v>13</v>
      </c>
      <c r="G204" s="5" t="s">
        <v>13</v>
      </c>
      <c r="H204" s="5" t="s">
        <v>163</v>
      </c>
      <c r="I204" s="6">
        <v>2303493</v>
      </c>
      <c r="J204" s="7">
        <v>44971</v>
      </c>
      <c r="K204" s="7">
        <f t="shared" si="12"/>
        <v>45061</v>
      </c>
      <c r="L204" s="17" t="s">
        <v>99</v>
      </c>
      <c r="M204" s="13"/>
    </row>
    <row r="205" spans="1:13" s="15" customFormat="1" ht="18" customHeight="1" x14ac:dyDescent="0.2">
      <c r="A205" s="3" t="s">
        <v>884</v>
      </c>
      <c r="B205" s="3" t="s">
        <v>1139</v>
      </c>
      <c r="C205" s="3" t="s">
        <v>1163</v>
      </c>
      <c r="D205" s="5" t="s">
        <v>1150</v>
      </c>
      <c r="E205" s="5" t="s">
        <v>1150</v>
      </c>
      <c r="F205" s="5" t="s">
        <v>13</v>
      </c>
      <c r="G205" s="5" t="s">
        <v>1169</v>
      </c>
      <c r="H205" s="5" t="s">
        <v>163</v>
      </c>
      <c r="I205" s="6">
        <v>2303494</v>
      </c>
      <c r="J205" s="7">
        <v>44971</v>
      </c>
      <c r="K205" s="7">
        <f t="shared" si="12"/>
        <v>45061</v>
      </c>
      <c r="L205" s="17" t="s">
        <v>99</v>
      </c>
      <c r="M205" s="13"/>
    </row>
    <row r="206" spans="1:13" s="15" customFormat="1" ht="18" customHeight="1" x14ac:dyDescent="0.2">
      <c r="A206" s="3" t="s">
        <v>884</v>
      </c>
      <c r="B206" s="3" t="s">
        <v>1143</v>
      </c>
      <c r="C206" s="3" t="s">
        <v>1164</v>
      </c>
      <c r="D206" s="5" t="s">
        <v>1151</v>
      </c>
      <c r="E206" s="5" t="s">
        <v>1151</v>
      </c>
      <c r="F206" s="5" t="s">
        <v>13</v>
      </c>
      <c r="G206" s="5" t="s">
        <v>1170</v>
      </c>
      <c r="H206" s="5" t="s">
        <v>163</v>
      </c>
      <c r="I206" s="6">
        <v>2303495</v>
      </c>
      <c r="J206" s="7">
        <v>44971</v>
      </c>
      <c r="K206" s="7">
        <f t="shared" si="12"/>
        <v>45061</v>
      </c>
      <c r="L206" s="17" t="s">
        <v>99</v>
      </c>
      <c r="M206" s="13"/>
    </row>
    <row r="207" spans="1:13" s="15" customFormat="1" ht="18" customHeight="1" x14ac:dyDescent="0.2">
      <c r="A207" s="3" t="s">
        <v>884</v>
      </c>
      <c r="B207" s="3" t="s">
        <v>1144</v>
      </c>
      <c r="C207" s="3" t="s">
        <v>1164</v>
      </c>
      <c r="D207" s="5" t="s">
        <v>1154</v>
      </c>
      <c r="E207" s="5" t="s">
        <v>1154</v>
      </c>
      <c r="F207" s="5" t="s">
        <v>13</v>
      </c>
      <c r="G207" s="5" t="s">
        <v>1171</v>
      </c>
      <c r="H207" s="5" t="s">
        <v>163</v>
      </c>
      <c r="I207" s="6">
        <v>2303496</v>
      </c>
      <c r="J207" s="7">
        <v>44971</v>
      </c>
      <c r="K207" s="7">
        <f t="shared" si="12"/>
        <v>45061</v>
      </c>
      <c r="L207" s="17" t="s">
        <v>99</v>
      </c>
      <c r="M207" s="13"/>
    </row>
    <row r="208" spans="1:13" s="15" customFormat="1" ht="18" customHeight="1" x14ac:dyDescent="0.2">
      <c r="A208" s="3" t="s">
        <v>884</v>
      </c>
      <c r="B208" s="3" t="s">
        <v>1143</v>
      </c>
      <c r="C208" s="3" t="s">
        <v>1165</v>
      </c>
      <c r="D208" s="5" t="s">
        <v>1155</v>
      </c>
      <c r="E208" s="5" t="s">
        <v>1155</v>
      </c>
      <c r="F208" s="5" t="s">
        <v>13</v>
      </c>
      <c r="G208" s="5" t="s">
        <v>13</v>
      </c>
      <c r="H208" s="5" t="s">
        <v>163</v>
      </c>
      <c r="I208" s="6">
        <v>2303497</v>
      </c>
      <c r="J208" s="7">
        <v>44971</v>
      </c>
      <c r="K208" s="7">
        <f t="shared" si="12"/>
        <v>45061</v>
      </c>
      <c r="L208" s="17" t="s">
        <v>99</v>
      </c>
      <c r="M208" s="13"/>
    </row>
    <row r="209" spans="1:13" s="14" customFormat="1" ht="18" customHeight="1" x14ac:dyDescent="0.2">
      <c r="A209" s="3" t="s">
        <v>884</v>
      </c>
      <c r="B209" s="3" t="s">
        <v>1144</v>
      </c>
      <c r="C209" s="3" t="s">
        <v>1165</v>
      </c>
      <c r="D209" s="5" t="s">
        <v>1156</v>
      </c>
      <c r="E209" s="5" t="s">
        <v>1156</v>
      </c>
      <c r="F209" s="5" t="s">
        <v>13</v>
      </c>
      <c r="G209" s="5" t="s">
        <v>13</v>
      </c>
      <c r="H209" s="5" t="s">
        <v>163</v>
      </c>
      <c r="I209" s="6">
        <v>2303498</v>
      </c>
      <c r="J209" s="7">
        <v>44971</v>
      </c>
      <c r="K209" s="7">
        <f t="shared" si="12"/>
        <v>45061</v>
      </c>
      <c r="L209" s="17" t="s">
        <v>99</v>
      </c>
      <c r="M209" s="13"/>
    </row>
    <row r="210" spans="1:13" s="14" customFormat="1" ht="18" customHeight="1" x14ac:dyDescent="0.2">
      <c r="A210" s="3" t="s">
        <v>884</v>
      </c>
      <c r="B210" s="3" t="s">
        <v>1141</v>
      </c>
      <c r="C210" s="3" t="s">
        <v>1166</v>
      </c>
      <c r="D210" s="5" t="s">
        <v>1157</v>
      </c>
      <c r="E210" s="5" t="s">
        <v>1157</v>
      </c>
      <c r="F210" s="5" t="s">
        <v>13</v>
      </c>
      <c r="G210" s="5" t="s">
        <v>1172</v>
      </c>
      <c r="H210" s="5" t="s">
        <v>163</v>
      </c>
      <c r="I210" s="6">
        <v>2303499</v>
      </c>
      <c r="J210" s="7">
        <v>44971</v>
      </c>
      <c r="K210" s="7">
        <f t="shared" si="12"/>
        <v>45061</v>
      </c>
      <c r="L210" s="17" t="s">
        <v>99</v>
      </c>
      <c r="M210" s="13"/>
    </row>
    <row r="211" spans="1:13" s="13" customFormat="1" ht="18" customHeight="1" x14ac:dyDescent="0.2">
      <c r="A211" s="3" t="s">
        <v>884</v>
      </c>
      <c r="B211" s="3" t="s">
        <v>1142</v>
      </c>
      <c r="C211" s="3" t="s">
        <v>1166</v>
      </c>
      <c r="D211" s="5" t="s">
        <v>1158</v>
      </c>
      <c r="E211" s="5" t="s">
        <v>1158</v>
      </c>
      <c r="F211" s="5" t="s">
        <v>13</v>
      </c>
      <c r="G211" s="5" t="s">
        <v>1172</v>
      </c>
      <c r="H211" s="5" t="s">
        <v>163</v>
      </c>
      <c r="I211" s="6">
        <v>2303500</v>
      </c>
      <c r="J211" s="7">
        <v>44971</v>
      </c>
      <c r="K211" s="7">
        <f t="shared" si="12"/>
        <v>45061</v>
      </c>
      <c r="L211" s="17" t="s">
        <v>99</v>
      </c>
    </row>
    <row r="212" spans="1:13" s="15" customFormat="1" ht="18" customHeight="1" x14ac:dyDescent="0.2">
      <c r="A212" s="3" t="s">
        <v>884</v>
      </c>
      <c r="B212" s="3" t="s">
        <v>1141</v>
      </c>
      <c r="C212" s="3" t="s">
        <v>1163</v>
      </c>
      <c r="D212" s="5" t="s">
        <v>1159</v>
      </c>
      <c r="E212" s="5" t="s">
        <v>1159</v>
      </c>
      <c r="F212" s="5" t="s">
        <v>13</v>
      </c>
      <c r="G212" s="5" t="s">
        <v>1168</v>
      </c>
      <c r="H212" s="5" t="s">
        <v>163</v>
      </c>
      <c r="I212" s="6">
        <v>2303501</v>
      </c>
      <c r="J212" s="7">
        <v>44971</v>
      </c>
      <c r="K212" s="7">
        <f t="shared" si="12"/>
        <v>45061</v>
      </c>
      <c r="L212" s="17" t="s">
        <v>99</v>
      </c>
      <c r="M212" s="13"/>
    </row>
    <row r="213" spans="1:13" s="15" customFormat="1" ht="18" customHeight="1" x14ac:dyDescent="0.2">
      <c r="A213" s="3" t="s">
        <v>884</v>
      </c>
      <c r="B213" s="3" t="s">
        <v>1142</v>
      </c>
      <c r="C213" s="3" t="s">
        <v>1163</v>
      </c>
      <c r="D213" s="5" t="s">
        <v>1160</v>
      </c>
      <c r="E213" s="5" t="s">
        <v>1160</v>
      </c>
      <c r="F213" s="5" t="s">
        <v>13</v>
      </c>
      <c r="G213" s="5" t="s">
        <v>1168</v>
      </c>
      <c r="H213" s="5" t="s">
        <v>163</v>
      </c>
      <c r="I213" s="6">
        <v>2303502</v>
      </c>
      <c r="J213" s="7">
        <v>44971</v>
      </c>
      <c r="K213" s="7">
        <f t="shared" si="12"/>
        <v>45061</v>
      </c>
      <c r="L213" s="17" t="s">
        <v>99</v>
      </c>
      <c r="M213" s="13"/>
    </row>
    <row r="214" spans="1:13" s="15" customFormat="1" ht="18" customHeight="1" x14ac:dyDescent="0.2">
      <c r="A214" s="3" t="s">
        <v>884</v>
      </c>
      <c r="B214" s="3" t="s">
        <v>1142</v>
      </c>
      <c r="C214" s="3" t="s">
        <v>884</v>
      </c>
      <c r="D214" s="5" t="s">
        <v>1206</v>
      </c>
      <c r="E214" s="5" t="s">
        <v>1206</v>
      </c>
      <c r="F214" s="5">
        <v>83201</v>
      </c>
      <c r="G214" s="5" t="s">
        <v>13</v>
      </c>
      <c r="H214" s="5" t="s">
        <v>163</v>
      </c>
      <c r="I214" s="6">
        <v>2306296</v>
      </c>
      <c r="J214" s="7">
        <v>44995</v>
      </c>
      <c r="K214" s="7">
        <f t="shared" si="12"/>
        <v>45085</v>
      </c>
      <c r="L214" s="17" t="s">
        <v>99</v>
      </c>
      <c r="M214" s="13"/>
    </row>
    <row r="215" spans="1:13" s="13" customFormat="1" ht="18" customHeight="1" x14ac:dyDescent="0.2">
      <c r="A215" s="3" t="s">
        <v>1384</v>
      </c>
      <c r="B215" s="3" t="s">
        <v>1386</v>
      </c>
      <c r="C215" s="3" t="s">
        <v>350</v>
      </c>
      <c r="D215" s="5">
        <v>443073</v>
      </c>
      <c r="E215" s="5" t="s">
        <v>1441</v>
      </c>
      <c r="F215" s="5" t="s">
        <v>1390</v>
      </c>
      <c r="G215" s="5" t="s">
        <v>1391</v>
      </c>
      <c r="H215" s="5" t="s">
        <v>893</v>
      </c>
      <c r="I215" s="42" t="s">
        <v>1387</v>
      </c>
      <c r="J215" s="7">
        <v>45556</v>
      </c>
      <c r="K215" s="7">
        <f t="shared" si="12"/>
        <v>45646</v>
      </c>
      <c r="L215" s="17" t="s">
        <v>1257</v>
      </c>
    </row>
    <row r="216" spans="1:13" s="13" customFormat="1" ht="18" customHeight="1" x14ac:dyDescent="0.2">
      <c r="A216" s="3" t="s">
        <v>1384</v>
      </c>
      <c r="B216" s="3" t="s">
        <v>1099</v>
      </c>
      <c r="C216" s="3" t="s">
        <v>189</v>
      </c>
      <c r="D216" s="78">
        <v>1873</v>
      </c>
      <c r="E216" s="5">
        <v>1873</v>
      </c>
      <c r="F216" s="5" t="s">
        <v>13</v>
      </c>
      <c r="G216" s="5" t="s">
        <v>13</v>
      </c>
      <c r="H216" s="5" t="s">
        <v>1580</v>
      </c>
      <c r="I216" s="42" t="s">
        <v>1599</v>
      </c>
      <c r="J216" s="7">
        <v>45847</v>
      </c>
      <c r="K216" s="7">
        <f t="shared" si="12"/>
        <v>45937</v>
      </c>
      <c r="L216" s="17" t="s">
        <v>1257</v>
      </c>
    </row>
    <row r="217" spans="1:13" s="13" customFormat="1" ht="18" customHeight="1" x14ac:dyDescent="0.2">
      <c r="A217" s="3" t="s">
        <v>1384</v>
      </c>
      <c r="B217" s="3" t="s">
        <v>1443</v>
      </c>
      <c r="C217" s="3" t="s">
        <v>189</v>
      </c>
      <c r="D217" s="78" t="s">
        <v>1444</v>
      </c>
      <c r="E217" s="5" t="s">
        <v>1444</v>
      </c>
      <c r="F217" s="5" t="s">
        <v>1445</v>
      </c>
      <c r="G217" s="5" t="s">
        <v>13</v>
      </c>
      <c r="H217" s="5" t="s">
        <v>1580</v>
      </c>
      <c r="I217" s="42" t="s">
        <v>1600</v>
      </c>
      <c r="J217" s="7">
        <v>45847</v>
      </c>
      <c r="K217" s="7">
        <f t="shared" si="12"/>
        <v>45937</v>
      </c>
      <c r="L217" s="17" t="s">
        <v>1257</v>
      </c>
    </row>
    <row r="218" spans="1:13" s="13" customFormat="1" ht="18" customHeight="1" x14ac:dyDescent="0.2">
      <c r="A218" s="3" t="s">
        <v>1384</v>
      </c>
      <c r="B218" s="3" t="s">
        <v>1446</v>
      </c>
      <c r="C218" s="3" t="s">
        <v>189</v>
      </c>
      <c r="D218" s="78" t="s">
        <v>1447</v>
      </c>
      <c r="E218" s="5" t="s">
        <v>1447</v>
      </c>
      <c r="F218" s="5" t="s">
        <v>13</v>
      </c>
      <c r="G218" s="5" t="s">
        <v>13</v>
      </c>
      <c r="H218" s="5" t="s">
        <v>163</v>
      </c>
      <c r="I218" s="42">
        <v>2503376</v>
      </c>
      <c r="J218" s="7">
        <v>45694</v>
      </c>
      <c r="K218" s="7">
        <f t="shared" si="12"/>
        <v>45784</v>
      </c>
      <c r="L218" s="17" t="s">
        <v>1257</v>
      </c>
    </row>
    <row r="219" spans="1:13" s="13" customFormat="1" ht="18" customHeight="1" x14ac:dyDescent="0.2">
      <c r="A219" s="3" t="s">
        <v>1384</v>
      </c>
      <c r="B219" s="3" t="s">
        <v>1448</v>
      </c>
      <c r="C219" s="3" t="s">
        <v>189</v>
      </c>
      <c r="D219" s="78">
        <v>4424</v>
      </c>
      <c r="E219" s="5">
        <v>4424</v>
      </c>
      <c r="F219" s="5" t="s">
        <v>1449</v>
      </c>
      <c r="G219" s="5" t="s">
        <v>13</v>
      </c>
      <c r="H219" s="5" t="s">
        <v>163</v>
      </c>
      <c r="I219" s="42">
        <v>2503379</v>
      </c>
      <c r="J219" s="7">
        <v>45694</v>
      </c>
      <c r="K219" s="7">
        <f t="shared" si="12"/>
        <v>45784</v>
      </c>
      <c r="L219" s="17" t="s">
        <v>1257</v>
      </c>
    </row>
    <row r="220" spans="1:13" s="13" customFormat="1" ht="18" customHeight="1" x14ac:dyDescent="0.2">
      <c r="A220" s="3" t="s">
        <v>1369</v>
      </c>
      <c r="B220" s="3" t="s">
        <v>1368</v>
      </c>
      <c r="C220" s="3" t="s">
        <v>13</v>
      </c>
      <c r="D220" s="5" t="s">
        <v>1367</v>
      </c>
      <c r="E220" s="5" t="s">
        <v>1367</v>
      </c>
      <c r="F220" s="5" t="s">
        <v>13</v>
      </c>
      <c r="G220" s="5" t="s">
        <v>13</v>
      </c>
      <c r="H220" s="5" t="s">
        <v>1372</v>
      </c>
      <c r="I220" s="42" t="s">
        <v>1371</v>
      </c>
      <c r="J220" s="7">
        <v>45555</v>
      </c>
      <c r="K220" s="7">
        <f t="shared" si="12"/>
        <v>45645</v>
      </c>
      <c r="L220" s="17" t="s">
        <v>1257</v>
      </c>
    </row>
    <row r="221" spans="1:13" s="13" customFormat="1" ht="18" customHeight="1" x14ac:dyDescent="0.2">
      <c r="A221" s="3" t="s">
        <v>1483</v>
      </c>
      <c r="B221" s="3" t="s">
        <v>1467</v>
      </c>
      <c r="C221" s="3" t="s">
        <v>1484</v>
      </c>
      <c r="D221" s="5" t="s">
        <v>13</v>
      </c>
      <c r="E221" s="5" t="s">
        <v>13</v>
      </c>
      <c r="F221" s="5">
        <v>31084</v>
      </c>
      <c r="G221" s="5" t="s">
        <v>1485</v>
      </c>
      <c r="H221" s="5" t="s">
        <v>1486</v>
      </c>
      <c r="I221" s="42" t="s">
        <v>1487</v>
      </c>
      <c r="J221" s="7">
        <v>45505</v>
      </c>
      <c r="K221" s="7">
        <f t="shared" si="12"/>
        <v>45595</v>
      </c>
      <c r="L221" s="17" t="s">
        <v>1257</v>
      </c>
    </row>
    <row r="222" spans="1:13" s="14" customFormat="1" ht="18" customHeight="1" x14ac:dyDescent="0.2">
      <c r="A222" s="3" t="s">
        <v>1483</v>
      </c>
      <c r="B222" s="3" t="s">
        <v>1467</v>
      </c>
      <c r="C222" s="3" t="s">
        <v>1519</v>
      </c>
      <c r="D222" s="5" t="s">
        <v>13</v>
      </c>
      <c r="E222" s="5" t="s">
        <v>13</v>
      </c>
      <c r="F222" s="5" t="s">
        <v>13</v>
      </c>
      <c r="G222" s="5" t="s">
        <v>1518</v>
      </c>
      <c r="H222" s="5" t="s">
        <v>1486</v>
      </c>
      <c r="I222" s="42" t="s">
        <v>1520</v>
      </c>
      <c r="J222" s="7">
        <v>45754</v>
      </c>
      <c r="K222" s="7">
        <f t="shared" si="12"/>
        <v>45844</v>
      </c>
      <c r="L222" s="17" t="s">
        <v>1257</v>
      </c>
      <c r="M222" s="13"/>
    </row>
    <row r="223" spans="1:13" s="15" customFormat="1" ht="18" customHeight="1" x14ac:dyDescent="0.2">
      <c r="A223" s="3" t="s">
        <v>1483</v>
      </c>
      <c r="B223" s="3" t="s">
        <v>1467</v>
      </c>
      <c r="C223" s="3" t="s">
        <v>1521</v>
      </c>
      <c r="D223" s="5" t="s">
        <v>13</v>
      </c>
      <c r="E223" s="5" t="s">
        <v>13</v>
      </c>
      <c r="F223" s="5">
        <v>15999</v>
      </c>
      <c r="G223" s="5" t="s">
        <v>1522</v>
      </c>
      <c r="H223" s="5" t="s">
        <v>1486</v>
      </c>
      <c r="I223" s="42" t="s">
        <v>1523</v>
      </c>
      <c r="J223" s="7">
        <v>45754</v>
      </c>
      <c r="K223" s="7">
        <f t="shared" si="12"/>
        <v>45844</v>
      </c>
      <c r="L223" s="17" t="s">
        <v>1257</v>
      </c>
      <c r="M223" s="13"/>
    </row>
    <row r="224" spans="1:13" s="15" customFormat="1" ht="18" customHeight="1" x14ac:dyDescent="0.2">
      <c r="A224" s="3" t="s">
        <v>1427</v>
      </c>
      <c r="B224" s="3" t="s">
        <v>1428</v>
      </c>
      <c r="C224" s="3" t="s">
        <v>887</v>
      </c>
      <c r="D224" s="5">
        <v>1868</v>
      </c>
      <c r="E224" s="5"/>
      <c r="F224" s="5"/>
      <c r="G224" s="5" t="s">
        <v>13</v>
      </c>
      <c r="H224" s="5" t="s">
        <v>163</v>
      </c>
      <c r="I224" s="42">
        <v>2501249</v>
      </c>
      <c r="J224" s="7">
        <v>45672</v>
      </c>
      <c r="K224" s="7">
        <f t="shared" si="12"/>
        <v>45762</v>
      </c>
      <c r="L224" s="17" t="s">
        <v>1257</v>
      </c>
      <c r="M224" s="13"/>
    </row>
    <row r="225" spans="1:13" s="15" customFormat="1" ht="18" customHeight="1" x14ac:dyDescent="0.2">
      <c r="A225" s="3" t="s">
        <v>1427</v>
      </c>
      <c r="B225" s="3" t="s">
        <v>1195</v>
      </c>
      <c r="C225" s="3" t="s">
        <v>350</v>
      </c>
      <c r="D225" s="5">
        <v>443073</v>
      </c>
      <c r="E225" s="5"/>
      <c r="F225" s="5"/>
      <c r="G225" s="5" t="s">
        <v>513</v>
      </c>
      <c r="H225" s="5" t="s">
        <v>163</v>
      </c>
      <c r="I225" s="42">
        <v>2501250</v>
      </c>
      <c r="J225" s="7">
        <v>45672</v>
      </c>
      <c r="K225" s="7">
        <f t="shared" si="12"/>
        <v>45762</v>
      </c>
      <c r="L225" s="17" t="s">
        <v>1257</v>
      </c>
      <c r="M225" s="13"/>
    </row>
    <row r="226" spans="1:13" s="15" customFormat="1" ht="18" customHeight="1" x14ac:dyDescent="0.2">
      <c r="A226" s="3" t="s">
        <v>1427</v>
      </c>
      <c r="B226" s="3" t="s">
        <v>1429</v>
      </c>
      <c r="C226" s="3" t="s">
        <v>1191</v>
      </c>
      <c r="D226" s="5" t="s">
        <v>1430</v>
      </c>
      <c r="E226" s="5"/>
      <c r="F226" s="5"/>
      <c r="G226" s="5" t="s">
        <v>13</v>
      </c>
      <c r="H226" s="5" t="s">
        <v>163</v>
      </c>
      <c r="I226" s="42">
        <v>2501248</v>
      </c>
      <c r="J226" s="7">
        <v>45672</v>
      </c>
      <c r="K226" s="7">
        <f t="shared" si="12"/>
        <v>45762</v>
      </c>
      <c r="L226" s="17" t="s">
        <v>1257</v>
      </c>
      <c r="M226" s="13"/>
    </row>
    <row r="227" spans="1:13" s="13" customFormat="1" ht="18" customHeight="1" x14ac:dyDescent="0.2">
      <c r="A227" s="3" t="s">
        <v>1427</v>
      </c>
      <c r="B227" s="3" t="s">
        <v>1467</v>
      </c>
      <c r="C227" s="3" t="s">
        <v>1472</v>
      </c>
      <c r="D227" s="5" t="s">
        <v>1473</v>
      </c>
      <c r="E227" s="5" t="s">
        <v>1473</v>
      </c>
      <c r="F227" s="5" t="s">
        <v>13</v>
      </c>
      <c r="G227" s="5" t="s">
        <v>13</v>
      </c>
      <c r="H227" s="5" t="s">
        <v>1474</v>
      </c>
      <c r="I227" s="42">
        <v>25045861</v>
      </c>
      <c r="J227" s="7">
        <v>45751</v>
      </c>
      <c r="K227" s="7">
        <f t="shared" si="12"/>
        <v>45841</v>
      </c>
      <c r="L227" s="17" t="s">
        <v>1257</v>
      </c>
    </row>
    <row r="228" spans="1:13" s="15" customFormat="1" ht="18" customHeight="1" x14ac:dyDescent="0.2">
      <c r="A228" s="3" t="s">
        <v>1427</v>
      </c>
      <c r="B228" s="3" t="s">
        <v>1467</v>
      </c>
      <c r="C228" s="3" t="s">
        <v>1475</v>
      </c>
      <c r="D228" s="5" t="s">
        <v>1476</v>
      </c>
      <c r="E228" s="5" t="s">
        <v>1476</v>
      </c>
      <c r="F228" s="5">
        <v>1465</v>
      </c>
      <c r="G228" s="5" t="s">
        <v>13</v>
      </c>
      <c r="H228" s="5" t="s">
        <v>1474</v>
      </c>
      <c r="I228" s="42">
        <v>25045862</v>
      </c>
      <c r="J228" s="7">
        <v>45751</v>
      </c>
      <c r="K228" s="7">
        <f t="shared" si="12"/>
        <v>45841</v>
      </c>
      <c r="L228" s="17" t="s">
        <v>1257</v>
      </c>
      <c r="M228" s="13"/>
    </row>
    <row r="229" spans="1:13" s="15" customFormat="1" ht="18" customHeight="1" x14ac:dyDescent="0.2">
      <c r="A229" s="3" t="s">
        <v>1427</v>
      </c>
      <c r="B229" s="3" t="s">
        <v>1467</v>
      </c>
      <c r="C229" s="3" t="s">
        <v>1477</v>
      </c>
      <c r="D229" s="5">
        <v>11</v>
      </c>
      <c r="E229" s="5">
        <v>11</v>
      </c>
      <c r="F229" s="5" t="s">
        <v>13</v>
      </c>
      <c r="G229" s="5" t="s">
        <v>13</v>
      </c>
      <c r="H229" s="5" t="s">
        <v>1474</v>
      </c>
      <c r="I229" s="42">
        <v>25045863</v>
      </c>
      <c r="J229" s="7">
        <v>45751</v>
      </c>
      <c r="K229" s="7">
        <f t="shared" si="12"/>
        <v>45841</v>
      </c>
      <c r="L229" s="17" t="s">
        <v>1257</v>
      </c>
      <c r="M229" s="13"/>
    </row>
    <row r="230" spans="1:13" s="15" customFormat="1" ht="18" customHeight="1" x14ac:dyDescent="0.2">
      <c r="A230" s="3" t="s">
        <v>886</v>
      </c>
      <c r="B230" s="3"/>
      <c r="C230" s="3" t="s">
        <v>735</v>
      </c>
      <c r="D230" s="4">
        <v>170074</v>
      </c>
      <c r="E230" s="4">
        <v>170074</v>
      </c>
      <c r="F230" s="16" t="s">
        <v>13</v>
      </c>
      <c r="G230" s="5" t="s">
        <v>805</v>
      </c>
      <c r="H230" s="5" t="s">
        <v>740</v>
      </c>
      <c r="I230" s="6" t="s">
        <v>806</v>
      </c>
      <c r="J230" s="7">
        <v>44467</v>
      </c>
      <c r="K230" s="7">
        <f>J230+365</f>
        <v>44832</v>
      </c>
      <c r="L230" s="17" t="s">
        <v>99</v>
      </c>
      <c r="M230" s="13"/>
    </row>
    <row r="231" spans="1:13" s="15" customFormat="1" ht="18" customHeight="1" x14ac:dyDescent="0.2">
      <c r="A231" s="3" t="s">
        <v>886</v>
      </c>
      <c r="B231" s="3"/>
      <c r="C231" s="3" t="s">
        <v>735</v>
      </c>
      <c r="D231" s="4" t="s">
        <v>736</v>
      </c>
      <c r="E231" s="4" t="s">
        <v>736</v>
      </c>
      <c r="F231" s="16" t="s">
        <v>13</v>
      </c>
      <c r="G231" s="5" t="s">
        <v>739</v>
      </c>
      <c r="H231" s="5" t="s">
        <v>740</v>
      </c>
      <c r="I231" s="6" t="s">
        <v>736</v>
      </c>
      <c r="J231" s="7">
        <v>44335</v>
      </c>
      <c r="K231" s="7">
        <f>J231+365</f>
        <v>44700</v>
      </c>
      <c r="L231" s="17" t="s">
        <v>99</v>
      </c>
      <c r="M231" s="13"/>
    </row>
    <row r="232" spans="1:13" s="15" customFormat="1" ht="18" customHeight="1" x14ac:dyDescent="0.2">
      <c r="A232" s="3" t="s">
        <v>886</v>
      </c>
      <c r="B232" s="3"/>
      <c r="C232" s="3" t="s">
        <v>735</v>
      </c>
      <c r="D232" s="4" t="s">
        <v>737</v>
      </c>
      <c r="E232" s="4" t="s">
        <v>737</v>
      </c>
      <c r="F232" s="16" t="s">
        <v>13</v>
      </c>
      <c r="G232" s="5" t="s">
        <v>739</v>
      </c>
      <c r="H232" s="5" t="s">
        <v>740</v>
      </c>
      <c r="I232" s="5" t="s">
        <v>737</v>
      </c>
      <c r="J232" s="7">
        <v>44335</v>
      </c>
      <c r="K232" s="7">
        <f>J232+365</f>
        <v>44700</v>
      </c>
      <c r="L232" s="17" t="s">
        <v>99</v>
      </c>
      <c r="M232" s="13"/>
    </row>
    <row r="233" spans="1:13" s="15" customFormat="1" ht="18" customHeight="1" x14ac:dyDescent="0.2">
      <c r="A233" s="3" t="s">
        <v>886</v>
      </c>
      <c r="B233" s="3"/>
      <c r="C233" s="3" t="s">
        <v>735</v>
      </c>
      <c r="D233" s="4" t="s">
        <v>738</v>
      </c>
      <c r="E233" s="4" t="s">
        <v>738</v>
      </c>
      <c r="F233" s="16" t="s">
        <v>13</v>
      </c>
      <c r="G233" s="5" t="s">
        <v>739</v>
      </c>
      <c r="H233" s="5" t="s">
        <v>740</v>
      </c>
      <c r="I233" s="5" t="s">
        <v>738</v>
      </c>
      <c r="J233" s="7">
        <v>44335</v>
      </c>
      <c r="K233" s="7">
        <f>J233+365</f>
        <v>44700</v>
      </c>
      <c r="L233" s="17" t="s">
        <v>99</v>
      </c>
      <c r="M233" s="13"/>
    </row>
    <row r="234" spans="1:13" s="15" customFormat="1" ht="18" customHeight="1" x14ac:dyDescent="0.2">
      <c r="A234" s="3" t="s">
        <v>1590</v>
      </c>
      <c r="B234" s="3" t="s">
        <v>1591</v>
      </c>
      <c r="C234" s="3" t="s">
        <v>1592</v>
      </c>
      <c r="D234" s="4" t="s">
        <v>1593</v>
      </c>
      <c r="E234" s="4" t="s">
        <v>1593</v>
      </c>
      <c r="F234" s="16" t="s">
        <v>13</v>
      </c>
      <c r="G234" s="5" t="s">
        <v>13</v>
      </c>
      <c r="H234" s="5" t="s">
        <v>1580</v>
      </c>
      <c r="I234" s="5" t="s">
        <v>1594</v>
      </c>
      <c r="J234" s="7">
        <v>45831</v>
      </c>
      <c r="K234" s="7">
        <f t="shared" ref="K234" si="13">J234+90</f>
        <v>45921</v>
      </c>
      <c r="L234" s="17" t="s">
        <v>1595</v>
      </c>
      <c r="M234" s="13"/>
    </row>
    <row r="235" spans="1:13" s="15" customFormat="1" ht="18" customHeight="1" x14ac:dyDescent="0.2">
      <c r="A235" s="3" t="s">
        <v>1549</v>
      </c>
      <c r="B235" s="3" t="s">
        <v>1550</v>
      </c>
      <c r="C235" s="3" t="s">
        <v>350</v>
      </c>
      <c r="D235" s="4" t="s">
        <v>1551</v>
      </c>
      <c r="E235" s="4" t="s">
        <v>1551</v>
      </c>
      <c r="F235" s="16" t="s">
        <v>45</v>
      </c>
      <c r="G235" s="5" t="s">
        <v>45</v>
      </c>
      <c r="H235" s="5" t="s">
        <v>163</v>
      </c>
      <c r="I235" s="43">
        <v>2517519</v>
      </c>
      <c r="J235" s="7">
        <v>45812</v>
      </c>
      <c r="K235" s="7">
        <f t="shared" ref="K235:K259" si="14">J235+90</f>
        <v>45902</v>
      </c>
      <c r="L235" s="17" t="s">
        <v>1548</v>
      </c>
      <c r="M235" s="13"/>
    </row>
    <row r="236" spans="1:13" s="15" customFormat="1" ht="18" customHeight="1" x14ac:dyDescent="0.2">
      <c r="A236" s="3" t="s">
        <v>1549</v>
      </c>
      <c r="B236" s="3" t="s">
        <v>1567</v>
      </c>
      <c r="C236" s="3" t="s">
        <v>350</v>
      </c>
      <c r="D236" s="4" t="s">
        <v>1552</v>
      </c>
      <c r="E236" s="4" t="s">
        <v>1552</v>
      </c>
      <c r="F236" s="16" t="s">
        <v>45</v>
      </c>
      <c r="G236" s="5" t="s">
        <v>45</v>
      </c>
      <c r="H236" s="5" t="s">
        <v>163</v>
      </c>
      <c r="I236" s="43">
        <v>2517520</v>
      </c>
      <c r="J236" s="7">
        <v>45812</v>
      </c>
      <c r="K236" s="7">
        <f t="shared" si="14"/>
        <v>45902</v>
      </c>
      <c r="L236" s="17" t="s">
        <v>1548</v>
      </c>
      <c r="M236" s="13"/>
    </row>
    <row r="237" spans="1:13" s="15" customFormat="1" ht="18" customHeight="1" x14ac:dyDescent="0.2">
      <c r="A237" s="3" t="s">
        <v>1549</v>
      </c>
      <c r="B237" s="3" t="s">
        <v>1568</v>
      </c>
      <c r="C237" s="3" t="s">
        <v>103</v>
      </c>
      <c r="D237" s="4" t="s">
        <v>1553</v>
      </c>
      <c r="E237" s="4" t="s">
        <v>1553</v>
      </c>
      <c r="F237" s="16" t="s">
        <v>45</v>
      </c>
      <c r="G237" s="5" t="s">
        <v>45</v>
      </c>
      <c r="H237" s="5" t="s">
        <v>163</v>
      </c>
      <c r="I237" s="43">
        <v>2517521</v>
      </c>
      <c r="J237" s="7">
        <v>45812</v>
      </c>
      <c r="K237" s="7">
        <f t="shared" si="14"/>
        <v>45902</v>
      </c>
      <c r="L237" s="17" t="s">
        <v>1548</v>
      </c>
      <c r="M237" s="13"/>
    </row>
    <row r="238" spans="1:13" s="15" customFormat="1" ht="18" customHeight="1" x14ac:dyDescent="0.2">
      <c r="A238" s="3" t="s">
        <v>1549</v>
      </c>
      <c r="B238" s="3" t="s">
        <v>1570</v>
      </c>
      <c r="C238" s="3" t="s">
        <v>103</v>
      </c>
      <c r="D238" s="4" t="s">
        <v>1554</v>
      </c>
      <c r="E238" s="4" t="s">
        <v>1554</v>
      </c>
      <c r="F238" s="16" t="s">
        <v>45</v>
      </c>
      <c r="G238" s="5" t="s">
        <v>45</v>
      </c>
      <c r="H238" s="5" t="s">
        <v>163</v>
      </c>
      <c r="I238" s="43">
        <v>2517522</v>
      </c>
      <c r="J238" s="7">
        <v>45812</v>
      </c>
      <c r="K238" s="7">
        <f t="shared" si="14"/>
        <v>45902</v>
      </c>
      <c r="L238" s="17" t="s">
        <v>1548</v>
      </c>
      <c r="M238" s="13"/>
    </row>
    <row r="239" spans="1:13" s="15" customFormat="1" ht="18" customHeight="1" x14ac:dyDescent="0.2">
      <c r="A239" s="3" t="s">
        <v>1549</v>
      </c>
      <c r="B239" s="3" t="s">
        <v>1571</v>
      </c>
      <c r="C239" s="3" t="s">
        <v>103</v>
      </c>
      <c r="D239" s="4" t="s">
        <v>1555</v>
      </c>
      <c r="E239" s="4" t="s">
        <v>1555</v>
      </c>
      <c r="F239" s="16" t="s">
        <v>45</v>
      </c>
      <c r="G239" s="5" t="s">
        <v>45</v>
      </c>
      <c r="H239" s="5" t="s">
        <v>163</v>
      </c>
      <c r="I239" s="43">
        <v>2517523</v>
      </c>
      <c r="J239" s="7">
        <v>45812</v>
      </c>
      <c r="K239" s="7">
        <f t="shared" si="14"/>
        <v>45902</v>
      </c>
      <c r="L239" s="17" t="s">
        <v>1548</v>
      </c>
      <c r="M239" s="13"/>
    </row>
    <row r="240" spans="1:13" s="15" customFormat="1" ht="18" customHeight="1" x14ac:dyDescent="0.2">
      <c r="A240" s="3" t="s">
        <v>1549</v>
      </c>
      <c r="B240" s="3" t="s">
        <v>1569</v>
      </c>
      <c r="C240" s="3" t="s">
        <v>103</v>
      </c>
      <c r="D240" s="4" t="s">
        <v>1556</v>
      </c>
      <c r="E240" s="4" t="s">
        <v>1556</v>
      </c>
      <c r="F240" s="16" t="s">
        <v>45</v>
      </c>
      <c r="G240" s="5" t="s">
        <v>45</v>
      </c>
      <c r="H240" s="5" t="s">
        <v>163</v>
      </c>
      <c r="I240" s="42">
        <v>2517524</v>
      </c>
      <c r="J240" s="7">
        <v>45812</v>
      </c>
      <c r="K240" s="7">
        <f t="shared" si="14"/>
        <v>45902</v>
      </c>
      <c r="L240" s="17" t="s">
        <v>1548</v>
      </c>
      <c r="M240" s="13"/>
    </row>
    <row r="241" spans="1:13" s="15" customFormat="1" ht="18" customHeight="1" x14ac:dyDescent="0.2">
      <c r="A241" s="3" t="s">
        <v>1549</v>
      </c>
      <c r="B241" s="3" t="s">
        <v>1571</v>
      </c>
      <c r="C241" s="3" t="s">
        <v>103</v>
      </c>
      <c r="D241" s="4" t="s">
        <v>1557</v>
      </c>
      <c r="E241" s="4" t="s">
        <v>1557</v>
      </c>
      <c r="F241" s="16" t="s">
        <v>45</v>
      </c>
      <c r="G241" s="5" t="s">
        <v>45</v>
      </c>
      <c r="H241" s="5" t="s">
        <v>163</v>
      </c>
      <c r="I241" s="42">
        <v>2517525</v>
      </c>
      <c r="J241" s="7">
        <v>45812</v>
      </c>
      <c r="K241" s="7">
        <f t="shared" si="14"/>
        <v>45902</v>
      </c>
      <c r="L241" s="17" t="s">
        <v>1548</v>
      </c>
      <c r="M241" s="13"/>
    </row>
    <row r="242" spans="1:13" s="15" customFormat="1" ht="18" customHeight="1" x14ac:dyDescent="0.2">
      <c r="A242" s="3" t="s">
        <v>1549</v>
      </c>
      <c r="B242" s="3" t="s">
        <v>1569</v>
      </c>
      <c r="C242" s="3" t="s">
        <v>103</v>
      </c>
      <c r="D242" s="4" t="s">
        <v>1558</v>
      </c>
      <c r="E242" s="4" t="s">
        <v>1558</v>
      </c>
      <c r="F242" s="16" t="s">
        <v>45</v>
      </c>
      <c r="G242" s="5" t="s">
        <v>45</v>
      </c>
      <c r="H242" s="5" t="s">
        <v>163</v>
      </c>
      <c r="I242" s="42">
        <v>2517526</v>
      </c>
      <c r="J242" s="7">
        <v>45812</v>
      </c>
      <c r="K242" s="7">
        <f t="shared" si="14"/>
        <v>45902</v>
      </c>
      <c r="L242" s="17" t="s">
        <v>1548</v>
      </c>
      <c r="M242" s="13"/>
    </row>
    <row r="243" spans="1:13" s="15" customFormat="1" ht="18" customHeight="1" x14ac:dyDescent="0.2">
      <c r="A243" s="3" t="s">
        <v>1549</v>
      </c>
      <c r="B243" s="3" t="s">
        <v>1571</v>
      </c>
      <c r="C243" s="3" t="s">
        <v>103</v>
      </c>
      <c r="D243" s="4" t="s">
        <v>1559</v>
      </c>
      <c r="E243" s="4" t="s">
        <v>1559</v>
      </c>
      <c r="F243" s="16" t="s">
        <v>45</v>
      </c>
      <c r="G243" s="5" t="s">
        <v>45</v>
      </c>
      <c r="H243" s="5" t="s">
        <v>163</v>
      </c>
      <c r="I243" s="42">
        <v>2517527</v>
      </c>
      <c r="J243" s="7">
        <v>45812</v>
      </c>
      <c r="K243" s="7">
        <f t="shared" si="14"/>
        <v>45902</v>
      </c>
      <c r="L243" s="17" t="s">
        <v>1548</v>
      </c>
      <c r="M243" s="13"/>
    </row>
    <row r="244" spans="1:13" s="15" customFormat="1" ht="18" customHeight="1" x14ac:dyDescent="0.2">
      <c r="A244" s="3" t="s">
        <v>1549</v>
      </c>
      <c r="B244" s="3" t="s">
        <v>1572</v>
      </c>
      <c r="C244" s="3" t="s">
        <v>103</v>
      </c>
      <c r="D244" s="4" t="s">
        <v>1560</v>
      </c>
      <c r="E244" s="4" t="s">
        <v>1560</v>
      </c>
      <c r="F244" s="16" t="s">
        <v>45</v>
      </c>
      <c r="G244" s="5" t="s">
        <v>45</v>
      </c>
      <c r="H244" s="5" t="s">
        <v>163</v>
      </c>
      <c r="I244" s="42">
        <v>2517528</v>
      </c>
      <c r="J244" s="7">
        <v>45812</v>
      </c>
      <c r="K244" s="7">
        <f t="shared" si="14"/>
        <v>45902</v>
      </c>
      <c r="L244" s="17" t="s">
        <v>1548</v>
      </c>
      <c r="M244" s="13"/>
    </row>
    <row r="245" spans="1:13" s="15" customFormat="1" ht="18" customHeight="1" x14ac:dyDescent="0.2">
      <c r="A245" s="3" t="s">
        <v>1549</v>
      </c>
      <c r="B245" s="3" t="s">
        <v>1569</v>
      </c>
      <c r="C245" s="3" t="s">
        <v>103</v>
      </c>
      <c r="D245" s="4" t="s">
        <v>1561</v>
      </c>
      <c r="E245" s="4" t="s">
        <v>1561</v>
      </c>
      <c r="F245" s="16" t="s">
        <v>45</v>
      </c>
      <c r="G245" s="5" t="s">
        <v>45</v>
      </c>
      <c r="H245" s="5" t="s">
        <v>163</v>
      </c>
      <c r="I245" s="42">
        <v>2517529</v>
      </c>
      <c r="J245" s="7">
        <v>45812</v>
      </c>
      <c r="K245" s="7">
        <f t="shared" si="14"/>
        <v>45902</v>
      </c>
      <c r="L245" s="17" t="s">
        <v>1548</v>
      </c>
      <c r="M245" s="13"/>
    </row>
    <row r="246" spans="1:13" s="15" customFormat="1" ht="18" customHeight="1" x14ac:dyDescent="0.2">
      <c r="A246" s="3" t="s">
        <v>1549</v>
      </c>
      <c r="B246" s="3" t="s">
        <v>1573</v>
      </c>
      <c r="C246" s="3" t="s">
        <v>103</v>
      </c>
      <c r="D246" s="4" t="s">
        <v>1562</v>
      </c>
      <c r="E246" s="4" t="s">
        <v>1562</v>
      </c>
      <c r="F246" s="16" t="s">
        <v>45</v>
      </c>
      <c r="G246" s="5" t="s">
        <v>45</v>
      </c>
      <c r="H246" s="5" t="s">
        <v>163</v>
      </c>
      <c r="I246" s="42">
        <v>2517530</v>
      </c>
      <c r="J246" s="7">
        <v>45812</v>
      </c>
      <c r="K246" s="7">
        <f t="shared" si="14"/>
        <v>45902</v>
      </c>
      <c r="L246" s="17" t="s">
        <v>1548</v>
      </c>
      <c r="M246" s="13"/>
    </row>
    <row r="247" spans="1:13" s="15" customFormat="1" ht="18" customHeight="1" x14ac:dyDescent="0.2">
      <c r="A247" s="3" t="s">
        <v>1549</v>
      </c>
      <c r="B247" s="3" t="s">
        <v>1574</v>
      </c>
      <c r="C247" s="3" t="s">
        <v>103</v>
      </c>
      <c r="D247" s="4" t="s">
        <v>1563</v>
      </c>
      <c r="E247" s="4" t="s">
        <v>1563</v>
      </c>
      <c r="F247" s="16" t="s">
        <v>45</v>
      </c>
      <c r="G247" s="5" t="s">
        <v>45</v>
      </c>
      <c r="H247" s="5" t="s">
        <v>163</v>
      </c>
      <c r="I247" s="42">
        <v>2517531</v>
      </c>
      <c r="J247" s="7">
        <v>45812</v>
      </c>
      <c r="K247" s="7">
        <f t="shared" si="14"/>
        <v>45902</v>
      </c>
      <c r="L247" s="17" t="s">
        <v>1548</v>
      </c>
      <c r="M247" s="13"/>
    </row>
    <row r="248" spans="1:13" s="15" customFormat="1" ht="18" customHeight="1" x14ac:dyDescent="0.2">
      <c r="A248" s="3" t="s">
        <v>1549</v>
      </c>
      <c r="B248" s="3" t="s">
        <v>1575</v>
      </c>
      <c r="C248" s="3" t="s">
        <v>1576</v>
      </c>
      <c r="D248" s="4" t="s">
        <v>1564</v>
      </c>
      <c r="E248" s="4" t="s">
        <v>1564</v>
      </c>
      <c r="F248" s="16" t="s">
        <v>45</v>
      </c>
      <c r="G248" s="5" t="s">
        <v>45</v>
      </c>
      <c r="H248" s="5" t="s">
        <v>163</v>
      </c>
      <c r="I248" s="42">
        <v>2517532</v>
      </c>
      <c r="J248" s="7">
        <v>45812</v>
      </c>
      <c r="K248" s="7">
        <f t="shared" si="14"/>
        <v>45902</v>
      </c>
      <c r="L248" s="17" t="s">
        <v>1548</v>
      </c>
      <c r="M248" s="13"/>
    </row>
    <row r="249" spans="1:13" s="13" customFormat="1" ht="18" customHeight="1" x14ac:dyDescent="0.2">
      <c r="A249" s="3" t="s">
        <v>1549</v>
      </c>
      <c r="B249" s="3" t="s">
        <v>1571</v>
      </c>
      <c r="C249" s="3" t="s">
        <v>1577</v>
      </c>
      <c r="D249" s="4" t="s">
        <v>1565</v>
      </c>
      <c r="E249" s="4" t="s">
        <v>1565</v>
      </c>
      <c r="F249" s="16" t="s">
        <v>45</v>
      </c>
      <c r="G249" s="5" t="s">
        <v>45</v>
      </c>
      <c r="H249" s="5" t="s">
        <v>163</v>
      </c>
      <c r="I249" s="42">
        <v>2517533</v>
      </c>
      <c r="J249" s="7">
        <v>45812</v>
      </c>
      <c r="K249" s="7">
        <f t="shared" si="14"/>
        <v>45902</v>
      </c>
      <c r="L249" s="17" t="s">
        <v>1548</v>
      </c>
    </row>
    <row r="250" spans="1:13" s="13" customFormat="1" ht="18" customHeight="1" x14ac:dyDescent="0.2">
      <c r="A250" s="3" t="s">
        <v>1549</v>
      </c>
      <c r="B250" s="3" t="s">
        <v>1569</v>
      </c>
      <c r="C250" s="3" t="s">
        <v>1577</v>
      </c>
      <c r="D250" s="4" t="s">
        <v>1566</v>
      </c>
      <c r="E250" s="4" t="s">
        <v>1566</v>
      </c>
      <c r="F250" s="16" t="s">
        <v>45</v>
      </c>
      <c r="G250" s="5" t="s">
        <v>45</v>
      </c>
      <c r="H250" s="5" t="s">
        <v>163</v>
      </c>
      <c r="I250" s="42">
        <v>2517534</v>
      </c>
      <c r="J250" s="7">
        <v>45812</v>
      </c>
      <c r="K250" s="7">
        <f t="shared" si="14"/>
        <v>45902</v>
      </c>
      <c r="L250" s="17" t="s">
        <v>1548</v>
      </c>
    </row>
    <row r="251" spans="1:13" s="13" customFormat="1" ht="18" customHeight="1" x14ac:dyDescent="0.2">
      <c r="A251" s="3" t="s">
        <v>1549</v>
      </c>
      <c r="B251" s="3" t="s">
        <v>1583</v>
      </c>
      <c r="C251" s="3" t="s">
        <v>350</v>
      </c>
      <c r="D251" s="66" t="s">
        <v>1584</v>
      </c>
      <c r="E251" s="4" t="s">
        <v>1584</v>
      </c>
      <c r="F251" s="16" t="s">
        <v>13</v>
      </c>
      <c r="G251" s="16" t="s">
        <v>13</v>
      </c>
      <c r="H251" s="16" t="s">
        <v>13</v>
      </c>
      <c r="I251" s="42">
        <v>2521287</v>
      </c>
      <c r="J251" s="7">
        <v>45845</v>
      </c>
      <c r="K251" s="7">
        <f t="shared" si="14"/>
        <v>45935</v>
      </c>
      <c r="L251" s="17" t="s">
        <v>1257</v>
      </c>
    </row>
    <row r="252" spans="1:13" s="13" customFormat="1" ht="18" customHeight="1" x14ac:dyDescent="0.2">
      <c r="A252" s="3" t="s">
        <v>1549</v>
      </c>
      <c r="B252" s="13" t="s">
        <v>1586</v>
      </c>
      <c r="C252" s="3" t="s">
        <v>350</v>
      </c>
      <c r="D252" s="66" t="s">
        <v>1585</v>
      </c>
      <c r="E252" s="4" t="s">
        <v>1585</v>
      </c>
      <c r="F252" s="16" t="s">
        <v>13</v>
      </c>
      <c r="G252" s="16" t="s">
        <v>13</v>
      </c>
      <c r="H252" s="16" t="s">
        <v>13</v>
      </c>
      <c r="I252" s="42">
        <v>2521288</v>
      </c>
      <c r="J252" s="7">
        <v>45842</v>
      </c>
      <c r="K252" s="7">
        <f t="shared" si="14"/>
        <v>45932</v>
      </c>
      <c r="L252" s="17" t="s">
        <v>1257</v>
      </c>
    </row>
    <row r="253" spans="1:13" s="13" customFormat="1" ht="18" customHeight="1" x14ac:dyDescent="0.2">
      <c r="A253" s="3" t="s">
        <v>1549</v>
      </c>
      <c r="B253" s="3" t="s">
        <v>1583</v>
      </c>
      <c r="C253" s="3" t="s">
        <v>350</v>
      </c>
      <c r="D253" s="66" t="s">
        <v>1587</v>
      </c>
      <c r="E253" s="4" t="s">
        <v>1587</v>
      </c>
      <c r="F253" s="16" t="s">
        <v>13</v>
      </c>
      <c r="G253" s="16" t="s">
        <v>13</v>
      </c>
      <c r="H253" s="16" t="s">
        <v>13</v>
      </c>
      <c r="I253" s="42">
        <v>2521289</v>
      </c>
      <c r="J253" s="7">
        <v>45842</v>
      </c>
      <c r="K253" s="7">
        <f t="shared" si="14"/>
        <v>45932</v>
      </c>
      <c r="L253" s="17" t="s">
        <v>1257</v>
      </c>
    </row>
    <row r="254" spans="1:13" s="13" customFormat="1" ht="18" customHeight="1" x14ac:dyDescent="0.2">
      <c r="A254" s="3" t="s">
        <v>1549</v>
      </c>
      <c r="B254" s="13" t="s">
        <v>1586</v>
      </c>
      <c r="C254" s="3" t="s">
        <v>350</v>
      </c>
      <c r="D254" s="66" t="s">
        <v>1588</v>
      </c>
      <c r="E254" s="4" t="s">
        <v>1588</v>
      </c>
      <c r="F254" s="16" t="s">
        <v>13</v>
      </c>
      <c r="G254" s="16" t="s">
        <v>13</v>
      </c>
      <c r="H254" s="16" t="s">
        <v>13</v>
      </c>
      <c r="I254" s="42">
        <v>2521290</v>
      </c>
      <c r="J254" s="7">
        <v>45842</v>
      </c>
      <c r="K254" s="7">
        <f t="shared" si="14"/>
        <v>45932</v>
      </c>
      <c r="L254" s="17" t="s">
        <v>1257</v>
      </c>
    </row>
    <row r="255" spans="1:13" s="13" customFormat="1" ht="18" customHeight="1" x14ac:dyDescent="0.2">
      <c r="A255" s="3" t="s">
        <v>1549</v>
      </c>
      <c r="B255" s="3" t="s">
        <v>1428</v>
      </c>
      <c r="C255" s="3" t="s">
        <v>189</v>
      </c>
      <c r="D255" s="66">
        <v>8154</v>
      </c>
      <c r="E255" s="4">
        <v>8154</v>
      </c>
      <c r="F255" s="16" t="s">
        <v>13</v>
      </c>
      <c r="G255" s="16" t="s">
        <v>13</v>
      </c>
      <c r="H255" s="16" t="s">
        <v>13</v>
      </c>
      <c r="I255" s="42">
        <v>2521448</v>
      </c>
      <c r="J255" s="7">
        <v>45845</v>
      </c>
      <c r="K255" s="7">
        <f t="shared" si="14"/>
        <v>45935</v>
      </c>
      <c r="L255" s="17" t="s">
        <v>99</v>
      </c>
    </row>
    <row r="256" spans="1:13" s="13" customFormat="1" ht="18" customHeight="1" x14ac:dyDescent="0.2">
      <c r="A256" s="3" t="s">
        <v>1549</v>
      </c>
      <c r="B256" s="3" t="s">
        <v>1428</v>
      </c>
      <c r="C256" s="3" t="s">
        <v>189</v>
      </c>
      <c r="D256" s="66">
        <v>1867</v>
      </c>
      <c r="E256" s="4">
        <v>1867</v>
      </c>
      <c r="F256" s="16" t="s">
        <v>13</v>
      </c>
      <c r="G256" s="16" t="s">
        <v>13</v>
      </c>
      <c r="H256" s="16" t="s">
        <v>13</v>
      </c>
      <c r="I256" s="42">
        <v>2521447</v>
      </c>
      <c r="J256" s="7">
        <v>45845</v>
      </c>
      <c r="K256" s="7">
        <f t="shared" si="14"/>
        <v>45935</v>
      </c>
      <c r="L256" s="17" t="s">
        <v>99</v>
      </c>
    </row>
    <row r="257" spans="1:13" s="13" customFormat="1" ht="18" customHeight="1" x14ac:dyDescent="0.2">
      <c r="A257" s="3" t="s">
        <v>1549</v>
      </c>
      <c r="B257" s="3" t="s">
        <v>1448</v>
      </c>
      <c r="C257" s="3" t="s">
        <v>189</v>
      </c>
      <c r="D257" s="66">
        <v>8469</v>
      </c>
      <c r="E257" s="4">
        <v>8469</v>
      </c>
      <c r="F257" s="16" t="s">
        <v>13</v>
      </c>
      <c r="G257" s="16" t="s">
        <v>13</v>
      </c>
      <c r="H257" s="16" t="s">
        <v>13</v>
      </c>
      <c r="I257" s="42">
        <v>2521446</v>
      </c>
      <c r="J257" s="7">
        <v>45845</v>
      </c>
      <c r="K257" s="7">
        <f t="shared" si="14"/>
        <v>45935</v>
      </c>
      <c r="L257" s="17" t="s">
        <v>99</v>
      </c>
    </row>
    <row r="258" spans="1:13" s="13" customFormat="1" ht="18" customHeight="1" x14ac:dyDescent="0.2">
      <c r="A258" s="3" t="s">
        <v>1384</v>
      </c>
      <c r="B258" s="3" t="s">
        <v>1385</v>
      </c>
      <c r="C258" s="3" t="s">
        <v>350</v>
      </c>
      <c r="D258" s="78">
        <v>443071</v>
      </c>
      <c r="E258" s="5" t="s">
        <v>1439</v>
      </c>
      <c r="F258" s="5" t="s">
        <v>1388</v>
      </c>
      <c r="G258" s="5" t="s">
        <v>1442</v>
      </c>
      <c r="H258" s="5" t="s">
        <v>1580</v>
      </c>
      <c r="I258" s="42" t="s">
        <v>1581</v>
      </c>
      <c r="J258" s="7">
        <v>45817</v>
      </c>
      <c r="K258" s="7">
        <f t="shared" si="14"/>
        <v>45907</v>
      </c>
      <c r="L258" s="17" t="s">
        <v>1257</v>
      </c>
    </row>
    <row r="259" spans="1:13" s="13" customFormat="1" ht="18" customHeight="1" x14ac:dyDescent="0.2">
      <c r="A259" s="3" t="s">
        <v>1384</v>
      </c>
      <c r="B259" s="3" t="s">
        <v>1385</v>
      </c>
      <c r="C259" s="3" t="s">
        <v>350</v>
      </c>
      <c r="D259" s="78">
        <v>443072</v>
      </c>
      <c r="E259" s="5" t="s">
        <v>1440</v>
      </c>
      <c r="F259" s="5" t="s">
        <v>1389</v>
      </c>
      <c r="G259" s="5" t="s">
        <v>1442</v>
      </c>
      <c r="H259" s="5" t="s">
        <v>1580</v>
      </c>
      <c r="I259" s="42" t="s">
        <v>1582</v>
      </c>
      <c r="J259" s="7">
        <v>45817</v>
      </c>
      <c r="K259" s="7">
        <f t="shared" si="14"/>
        <v>45907</v>
      </c>
      <c r="L259" s="17" t="s">
        <v>1257</v>
      </c>
    </row>
    <row r="260" spans="1:13" s="13" customFormat="1" ht="18" customHeight="1" x14ac:dyDescent="0.2">
      <c r="A260" s="3" t="s">
        <v>885</v>
      </c>
      <c r="B260" s="3"/>
      <c r="C260" s="3" t="s">
        <v>927</v>
      </c>
      <c r="D260" s="4">
        <v>175918</v>
      </c>
      <c r="E260" s="4">
        <v>175918</v>
      </c>
      <c r="F260" s="4">
        <v>175918</v>
      </c>
      <c r="G260" s="5" t="s">
        <v>795</v>
      </c>
      <c r="H260" s="5" t="s">
        <v>740</v>
      </c>
      <c r="I260" s="6" t="s">
        <v>923</v>
      </c>
      <c r="J260" s="7">
        <v>44733</v>
      </c>
      <c r="K260" s="7">
        <f t="shared" ref="K260:K265" si="15">J260+365</f>
        <v>45098</v>
      </c>
      <c r="L260" s="17" t="s">
        <v>99</v>
      </c>
    </row>
    <row r="261" spans="1:13" s="13" customFormat="1" ht="18" customHeight="1" x14ac:dyDescent="0.2">
      <c r="A261" s="3" t="s">
        <v>885</v>
      </c>
      <c r="B261" s="3"/>
      <c r="C261" s="3" t="s">
        <v>927</v>
      </c>
      <c r="D261" s="4">
        <v>175920</v>
      </c>
      <c r="E261" s="4">
        <v>175920</v>
      </c>
      <c r="F261" s="4">
        <v>175920</v>
      </c>
      <c r="G261" s="5" t="s">
        <v>795</v>
      </c>
      <c r="H261" s="5" t="s">
        <v>740</v>
      </c>
      <c r="I261" s="6" t="s">
        <v>924</v>
      </c>
      <c r="J261" s="7">
        <v>44733</v>
      </c>
      <c r="K261" s="7">
        <f t="shared" si="15"/>
        <v>45098</v>
      </c>
      <c r="L261" s="17" t="s">
        <v>99</v>
      </c>
    </row>
    <row r="262" spans="1:13" s="13" customFormat="1" ht="18" customHeight="1" x14ac:dyDescent="0.2">
      <c r="A262" s="3" t="s">
        <v>885</v>
      </c>
      <c r="B262" s="3"/>
      <c r="C262" s="3" t="s">
        <v>928</v>
      </c>
      <c r="D262" s="4">
        <v>176291</v>
      </c>
      <c r="E262" s="4">
        <v>176291</v>
      </c>
      <c r="F262" s="4">
        <v>176291</v>
      </c>
      <c r="G262" s="5" t="s">
        <v>13</v>
      </c>
      <c r="H262" s="5" t="s">
        <v>740</v>
      </c>
      <c r="I262" s="6" t="s">
        <v>925</v>
      </c>
      <c r="J262" s="7">
        <v>44733</v>
      </c>
      <c r="K262" s="7">
        <f t="shared" si="15"/>
        <v>45098</v>
      </c>
      <c r="L262" s="17" t="s">
        <v>99</v>
      </c>
    </row>
    <row r="263" spans="1:13" s="13" customFormat="1" ht="18" customHeight="1" x14ac:dyDescent="0.2">
      <c r="A263" s="3" t="s">
        <v>885</v>
      </c>
      <c r="B263" s="3"/>
      <c r="C263" s="3" t="s">
        <v>928</v>
      </c>
      <c r="D263" s="4">
        <v>176294</v>
      </c>
      <c r="E263" s="4">
        <v>176294</v>
      </c>
      <c r="F263" s="4">
        <v>176294</v>
      </c>
      <c r="G263" s="5" t="s">
        <v>13</v>
      </c>
      <c r="H263" s="5" t="s">
        <v>740</v>
      </c>
      <c r="I263" s="6" t="s">
        <v>926</v>
      </c>
      <c r="J263" s="7">
        <v>44733</v>
      </c>
      <c r="K263" s="7">
        <f t="shared" si="15"/>
        <v>45098</v>
      </c>
      <c r="L263" s="17" t="s">
        <v>99</v>
      </c>
    </row>
    <row r="264" spans="1:13" s="15" customFormat="1" ht="18" customHeight="1" x14ac:dyDescent="0.2">
      <c r="A264" s="3" t="s">
        <v>885</v>
      </c>
      <c r="B264" s="3"/>
      <c r="C264" s="3" t="s">
        <v>877</v>
      </c>
      <c r="D264" s="4">
        <v>177712</v>
      </c>
      <c r="E264" s="4">
        <v>177712</v>
      </c>
      <c r="F264" s="4">
        <v>177712</v>
      </c>
      <c r="G264" s="5" t="s">
        <v>929</v>
      </c>
      <c r="H264" s="5" t="s">
        <v>740</v>
      </c>
      <c r="I264" s="6" t="s">
        <v>921</v>
      </c>
      <c r="J264" s="7">
        <v>44733</v>
      </c>
      <c r="K264" s="7">
        <f t="shared" si="15"/>
        <v>45098</v>
      </c>
      <c r="L264" s="17" t="s">
        <v>99</v>
      </c>
      <c r="M264" s="13"/>
    </row>
    <row r="265" spans="1:13" s="15" customFormat="1" ht="18" customHeight="1" x14ac:dyDescent="0.2">
      <c r="A265" s="3" t="s">
        <v>885</v>
      </c>
      <c r="B265" s="3"/>
      <c r="C265" s="3" t="s">
        <v>877</v>
      </c>
      <c r="D265" s="4">
        <v>177713</v>
      </c>
      <c r="E265" s="4">
        <v>177713</v>
      </c>
      <c r="F265" s="4">
        <v>177713</v>
      </c>
      <c r="G265" s="5" t="s">
        <v>929</v>
      </c>
      <c r="H265" s="5" t="s">
        <v>740</v>
      </c>
      <c r="I265" s="6" t="s">
        <v>922</v>
      </c>
      <c r="J265" s="7">
        <v>44733</v>
      </c>
      <c r="K265" s="7">
        <f t="shared" si="15"/>
        <v>45098</v>
      </c>
      <c r="L265" s="17" t="s">
        <v>99</v>
      </c>
      <c r="M265" s="13"/>
    </row>
    <row r="266" spans="1:13" s="15" customFormat="1" ht="18" customHeight="1" x14ac:dyDescent="0.25">
      <c r="A266" s="3" t="s">
        <v>885</v>
      </c>
      <c r="B266" s="3" t="s">
        <v>1448</v>
      </c>
      <c r="C266" s="3" t="s">
        <v>928</v>
      </c>
      <c r="D266" s="4">
        <v>197818</v>
      </c>
      <c r="E266" s="4">
        <v>197818</v>
      </c>
      <c r="F266" s="16" t="s">
        <v>13</v>
      </c>
      <c r="G266" s="16" t="s">
        <v>13</v>
      </c>
      <c r="H266" s="5" t="s">
        <v>1580</v>
      </c>
      <c r="I266" s="57" t="s">
        <v>1605</v>
      </c>
      <c r="J266" s="7">
        <v>45855</v>
      </c>
      <c r="K266" s="7">
        <f t="shared" ref="K266" si="16">J266+90</f>
        <v>45945</v>
      </c>
      <c r="L266" s="17" t="s">
        <v>1257</v>
      </c>
      <c r="M266" s="13"/>
    </row>
    <row r="267" spans="1:13" s="15" customFormat="1" ht="18" customHeight="1" x14ac:dyDescent="0.25">
      <c r="A267" s="3" t="s">
        <v>885</v>
      </c>
      <c r="B267" s="3"/>
      <c r="C267" s="3"/>
      <c r="D267" s="4">
        <v>197820</v>
      </c>
      <c r="E267" s="4">
        <v>197820</v>
      </c>
      <c r="F267" s="16" t="s">
        <v>13</v>
      </c>
      <c r="G267" s="16" t="s">
        <v>13</v>
      </c>
      <c r="H267" s="5" t="s">
        <v>740</v>
      </c>
      <c r="I267" s="57">
        <v>197820</v>
      </c>
      <c r="J267" s="7">
        <v>45425</v>
      </c>
      <c r="K267" s="7">
        <v>45787</v>
      </c>
      <c r="L267" s="17" t="s">
        <v>1257</v>
      </c>
      <c r="M267" s="13"/>
    </row>
    <row r="268" spans="1:13" s="15" customFormat="1" ht="18" customHeight="1" x14ac:dyDescent="0.25">
      <c r="A268" s="3" t="s">
        <v>885</v>
      </c>
      <c r="B268" s="3"/>
      <c r="C268" s="3"/>
      <c r="D268" s="4">
        <v>197822</v>
      </c>
      <c r="E268" s="4">
        <v>197822</v>
      </c>
      <c r="F268" s="16" t="s">
        <v>13</v>
      </c>
      <c r="G268" s="16" t="s">
        <v>13</v>
      </c>
      <c r="H268" s="5" t="s">
        <v>740</v>
      </c>
      <c r="I268" s="57">
        <v>197822</v>
      </c>
      <c r="J268" s="7">
        <v>45425</v>
      </c>
      <c r="K268" s="7">
        <v>45787</v>
      </c>
      <c r="L268" s="17" t="s">
        <v>1257</v>
      </c>
      <c r="M268" s="13"/>
    </row>
    <row r="269" spans="1:13" s="15" customFormat="1" ht="18" customHeight="1" x14ac:dyDescent="0.2">
      <c r="A269" s="3" t="s">
        <v>885</v>
      </c>
      <c r="B269" s="3"/>
      <c r="C269" s="3" t="s">
        <v>877</v>
      </c>
      <c r="D269" s="4" t="s">
        <v>875</v>
      </c>
      <c r="E269" s="4" t="s">
        <v>875</v>
      </c>
      <c r="F269" s="16" t="s">
        <v>13</v>
      </c>
      <c r="G269" s="5" t="s">
        <v>13</v>
      </c>
      <c r="H269" s="5" t="s">
        <v>1580</v>
      </c>
      <c r="I269" s="43" t="s">
        <v>1607</v>
      </c>
      <c r="J269" s="7">
        <v>45855</v>
      </c>
      <c r="K269" s="7">
        <f>J269+365</f>
        <v>46220</v>
      </c>
      <c r="L269" s="17" t="s">
        <v>1257</v>
      </c>
      <c r="M269" s="13"/>
    </row>
    <row r="270" spans="1:13" s="15" customFormat="1" ht="18" customHeight="1" x14ac:dyDescent="0.2">
      <c r="A270" s="3" t="s">
        <v>885</v>
      </c>
      <c r="B270" s="3"/>
      <c r="C270" s="3" t="s">
        <v>877</v>
      </c>
      <c r="D270" s="4" t="s">
        <v>876</v>
      </c>
      <c r="E270" s="4" t="s">
        <v>876</v>
      </c>
      <c r="F270" s="16" t="s">
        <v>13</v>
      </c>
      <c r="G270" s="5" t="s">
        <v>13</v>
      </c>
      <c r="H270" s="5" t="s">
        <v>163</v>
      </c>
      <c r="I270" s="43">
        <v>2415689</v>
      </c>
      <c r="J270" s="7">
        <v>45462</v>
      </c>
      <c r="K270" s="7">
        <f>J270+365</f>
        <v>45827</v>
      </c>
      <c r="L270" s="17" t="s">
        <v>1257</v>
      </c>
      <c r="M270" s="13"/>
    </row>
    <row r="271" spans="1:13" s="15" customFormat="1" ht="18" customHeight="1" x14ac:dyDescent="0.2">
      <c r="A271" s="3" t="s">
        <v>885</v>
      </c>
      <c r="B271" s="3"/>
      <c r="C271" s="3"/>
      <c r="D271" s="4" t="s">
        <v>1227</v>
      </c>
      <c r="E271" s="4" t="s">
        <v>1227</v>
      </c>
      <c r="F271" s="16" t="s">
        <v>13</v>
      </c>
      <c r="G271" s="16" t="s">
        <v>13</v>
      </c>
      <c r="H271" s="5" t="s">
        <v>1580</v>
      </c>
      <c r="I271" s="43" t="s">
        <v>1606</v>
      </c>
      <c r="J271" s="7">
        <v>45855</v>
      </c>
      <c r="K271" s="7">
        <f>J271+365</f>
        <v>46220</v>
      </c>
      <c r="L271" s="17" t="s">
        <v>1257</v>
      </c>
      <c r="M271" s="13"/>
    </row>
    <row r="272" spans="1:13" s="15" customFormat="1" ht="18" customHeight="1" x14ac:dyDescent="0.2">
      <c r="A272" s="3" t="s">
        <v>885</v>
      </c>
      <c r="B272" s="3"/>
      <c r="C272" s="3"/>
      <c r="D272" s="4" t="s">
        <v>1228</v>
      </c>
      <c r="E272" s="4" t="s">
        <v>1228</v>
      </c>
      <c r="F272" s="16" t="s">
        <v>13</v>
      </c>
      <c r="G272" s="5" t="s">
        <v>13</v>
      </c>
      <c r="H272" s="5" t="s">
        <v>163</v>
      </c>
      <c r="I272" s="6" t="s">
        <v>1276</v>
      </c>
      <c r="J272" s="7" t="s">
        <v>1276</v>
      </c>
      <c r="K272" s="7"/>
      <c r="L272" s="17"/>
      <c r="M272" s="13"/>
    </row>
    <row r="273" spans="1:13" s="15" customFormat="1" ht="18" customHeight="1" x14ac:dyDescent="0.2">
      <c r="A273" s="3" t="s">
        <v>1415</v>
      </c>
      <c r="B273" s="3" t="s">
        <v>1416</v>
      </c>
      <c r="C273" s="3" t="s">
        <v>1417</v>
      </c>
      <c r="D273" s="4" t="s">
        <v>1418</v>
      </c>
      <c r="E273" s="4"/>
      <c r="F273" s="16"/>
      <c r="G273" s="5">
        <v>323</v>
      </c>
      <c r="H273" s="5" t="s">
        <v>1419</v>
      </c>
      <c r="I273" s="42" t="s">
        <v>1418</v>
      </c>
      <c r="J273" s="7">
        <v>45672</v>
      </c>
      <c r="K273" s="7">
        <f>J273+365</f>
        <v>46037</v>
      </c>
      <c r="L273" s="17" t="s">
        <v>1257</v>
      </c>
      <c r="M273" s="13"/>
    </row>
    <row r="274" spans="1:13" s="15" customFormat="1" ht="18" customHeight="1" x14ac:dyDescent="0.2">
      <c r="A274" s="3" t="s">
        <v>1415</v>
      </c>
      <c r="B274" s="3" t="s">
        <v>1416</v>
      </c>
      <c r="C274" s="3" t="s">
        <v>1417</v>
      </c>
      <c r="D274" s="4" t="s">
        <v>1420</v>
      </c>
      <c r="E274" s="4"/>
      <c r="F274" s="16"/>
      <c r="G274" s="5">
        <v>323</v>
      </c>
      <c r="H274" s="5" t="s">
        <v>1419</v>
      </c>
      <c r="I274" s="42" t="s">
        <v>1420</v>
      </c>
      <c r="J274" s="7">
        <v>45672</v>
      </c>
      <c r="K274" s="7">
        <f>J274+365</f>
        <v>46037</v>
      </c>
      <c r="L274" s="17" t="s">
        <v>1257</v>
      </c>
      <c r="M274" s="13"/>
    </row>
    <row r="275" spans="1:13" s="15" customFormat="1" ht="18" customHeight="1" x14ac:dyDescent="0.2">
      <c r="A275" s="3" t="s">
        <v>411</v>
      </c>
      <c r="B275" s="3"/>
      <c r="C275" s="3" t="s">
        <v>405</v>
      </c>
      <c r="D275" s="4">
        <v>140</v>
      </c>
      <c r="E275" s="4">
        <v>140</v>
      </c>
      <c r="F275" s="16">
        <v>949301</v>
      </c>
      <c r="G275" s="5" t="s">
        <v>296</v>
      </c>
      <c r="H275" s="5" t="s">
        <v>407</v>
      </c>
      <c r="I275" s="6" t="s">
        <v>412</v>
      </c>
      <c r="J275" s="7">
        <v>44022</v>
      </c>
      <c r="K275" s="7">
        <f t="shared" ref="K275:K281" si="17">J275+720</f>
        <v>44742</v>
      </c>
      <c r="L275" s="17" t="s">
        <v>99</v>
      </c>
      <c r="M275" s="13"/>
    </row>
    <row r="276" spans="1:13" s="15" customFormat="1" ht="18" customHeight="1" x14ac:dyDescent="0.2">
      <c r="A276" s="3" t="s">
        <v>411</v>
      </c>
      <c r="B276" s="3"/>
      <c r="C276" s="3" t="s">
        <v>405</v>
      </c>
      <c r="D276" s="4">
        <v>141</v>
      </c>
      <c r="E276" s="4">
        <v>141</v>
      </c>
      <c r="F276" s="16">
        <v>949300</v>
      </c>
      <c r="G276" s="5" t="s">
        <v>296</v>
      </c>
      <c r="H276" s="5" t="s">
        <v>407</v>
      </c>
      <c r="I276" s="6" t="s">
        <v>413</v>
      </c>
      <c r="J276" s="7">
        <v>44022</v>
      </c>
      <c r="K276" s="7">
        <f t="shared" si="17"/>
        <v>44742</v>
      </c>
      <c r="L276" s="17" t="s">
        <v>99</v>
      </c>
      <c r="M276" s="13"/>
    </row>
    <row r="277" spans="1:13" s="13" customFormat="1" ht="18" customHeight="1" x14ac:dyDescent="0.2">
      <c r="A277" s="3" t="s">
        <v>489</v>
      </c>
      <c r="B277" s="3"/>
      <c r="C277" s="3" t="s">
        <v>405</v>
      </c>
      <c r="D277" s="4">
        <v>134</v>
      </c>
      <c r="E277" s="4">
        <v>134</v>
      </c>
      <c r="F277" s="16" t="s">
        <v>13</v>
      </c>
      <c r="G277" s="5" t="s">
        <v>414</v>
      </c>
      <c r="H277" s="5" t="s">
        <v>407</v>
      </c>
      <c r="I277" s="42">
        <v>2300715</v>
      </c>
      <c r="J277" s="7">
        <v>44949</v>
      </c>
      <c r="K277" s="7">
        <f t="shared" si="17"/>
        <v>45669</v>
      </c>
      <c r="L277" s="17" t="s">
        <v>99</v>
      </c>
    </row>
    <row r="278" spans="1:13" s="13" customFormat="1" ht="18" customHeight="1" x14ac:dyDescent="0.2">
      <c r="A278" s="3" t="s">
        <v>490</v>
      </c>
      <c r="B278" s="3"/>
      <c r="C278" s="3" t="s">
        <v>405</v>
      </c>
      <c r="D278" s="74">
        <v>135</v>
      </c>
      <c r="E278" s="4">
        <v>135</v>
      </c>
      <c r="F278" s="16" t="s">
        <v>13</v>
      </c>
      <c r="G278" s="5" t="s">
        <v>414</v>
      </c>
      <c r="H278" s="5" t="s">
        <v>163</v>
      </c>
      <c r="I278" s="43">
        <v>2415663</v>
      </c>
      <c r="J278" s="7">
        <v>45461</v>
      </c>
      <c r="K278" s="7">
        <f t="shared" si="17"/>
        <v>46181</v>
      </c>
      <c r="L278" s="17" t="s">
        <v>1257</v>
      </c>
    </row>
    <row r="279" spans="1:13" s="13" customFormat="1" ht="18" customHeight="1" x14ac:dyDescent="0.2">
      <c r="A279" s="3" t="s">
        <v>315</v>
      </c>
      <c r="B279" s="3"/>
      <c r="C279" s="3" t="s">
        <v>8</v>
      </c>
      <c r="D279" s="4">
        <v>1810</v>
      </c>
      <c r="E279" s="4">
        <v>1810</v>
      </c>
      <c r="F279" s="16" t="s">
        <v>316</v>
      </c>
      <c r="G279" s="5" t="s">
        <v>317</v>
      </c>
      <c r="H279" s="5" t="s">
        <v>16</v>
      </c>
      <c r="I279" s="5" t="s">
        <v>318</v>
      </c>
      <c r="J279" s="7">
        <v>43770</v>
      </c>
      <c r="K279" s="7">
        <f t="shared" si="17"/>
        <v>44490</v>
      </c>
      <c r="L279" s="17" t="s">
        <v>99</v>
      </c>
    </row>
    <row r="280" spans="1:13" s="13" customFormat="1" ht="18" customHeight="1" x14ac:dyDescent="0.2">
      <c r="A280" s="3" t="s">
        <v>353</v>
      </c>
      <c r="B280" s="3"/>
      <c r="C280" s="3" t="s">
        <v>13</v>
      </c>
      <c r="D280" s="4">
        <v>1370</v>
      </c>
      <c r="E280" s="4">
        <v>1370</v>
      </c>
      <c r="F280" s="16" t="s">
        <v>509</v>
      </c>
      <c r="G280" s="5" t="s">
        <v>296</v>
      </c>
      <c r="H280" s="5" t="s">
        <v>16</v>
      </c>
      <c r="I280" s="5">
        <v>2306279</v>
      </c>
      <c r="J280" s="7">
        <v>44523</v>
      </c>
      <c r="K280" s="7">
        <f t="shared" si="17"/>
        <v>45243</v>
      </c>
      <c r="L280" s="17" t="s">
        <v>99</v>
      </c>
    </row>
    <row r="281" spans="1:13" s="13" customFormat="1" ht="18" customHeight="1" x14ac:dyDescent="0.2">
      <c r="A281" s="3" t="s">
        <v>353</v>
      </c>
      <c r="B281" s="3"/>
      <c r="C281" s="3" t="s">
        <v>44</v>
      </c>
      <c r="D281" s="4">
        <v>1812</v>
      </c>
      <c r="E281" s="4">
        <v>1812</v>
      </c>
      <c r="F281" s="16">
        <v>467087</v>
      </c>
      <c r="G281" s="5" t="s">
        <v>508</v>
      </c>
      <c r="H281" s="5" t="s">
        <v>163</v>
      </c>
      <c r="I281" s="6">
        <v>2211562</v>
      </c>
      <c r="J281" s="7">
        <v>44711</v>
      </c>
      <c r="K281" s="7">
        <f t="shared" si="17"/>
        <v>45431</v>
      </c>
      <c r="L281" s="17" t="s">
        <v>99</v>
      </c>
    </row>
    <row r="282" spans="1:13" s="13" customFormat="1" ht="18" customHeight="1" x14ac:dyDescent="0.2">
      <c r="A282" s="3" t="s">
        <v>353</v>
      </c>
      <c r="B282" s="3"/>
      <c r="C282" s="3" t="s">
        <v>859</v>
      </c>
      <c r="D282" s="4" t="s">
        <v>858</v>
      </c>
      <c r="E282" s="4" t="s">
        <v>858</v>
      </c>
      <c r="F282" s="16" t="s">
        <v>354</v>
      </c>
      <c r="G282" s="5" t="s">
        <v>355</v>
      </c>
      <c r="H282" s="5" t="s">
        <v>857</v>
      </c>
      <c r="I282" s="6">
        <v>2001199</v>
      </c>
      <c r="J282" s="7">
        <v>44613</v>
      </c>
      <c r="K282" s="7">
        <f>J282+365</f>
        <v>44978</v>
      </c>
      <c r="L282" s="17" t="s">
        <v>99</v>
      </c>
    </row>
    <row r="283" spans="1:13" s="13" customFormat="1" ht="18" customHeight="1" x14ac:dyDescent="0.2">
      <c r="A283" s="3" t="s">
        <v>344</v>
      </c>
      <c r="B283" s="3"/>
      <c r="C283" s="3" t="s">
        <v>323</v>
      </c>
      <c r="D283" s="4">
        <v>1971</v>
      </c>
      <c r="E283" s="4">
        <v>1971</v>
      </c>
      <c r="F283" s="16">
        <v>6677</v>
      </c>
      <c r="G283" s="5" t="s">
        <v>345</v>
      </c>
      <c r="H283" s="5" t="s">
        <v>323</v>
      </c>
      <c r="I283" s="6" t="s">
        <v>346</v>
      </c>
      <c r="J283" s="7">
        <v>43881</v>
      </c>
      <c r="K283" s="7">
        <f t="shared" ref="K283:K290" si="18">J283+720</f>
        <v>44601</v>
      </c>
      <c r="L283" s="17" t="s">
        <v>99</v>
      </c>
    </row>
    <row r="284" spans="1:13" s="13" customFormat="1" ht="18" customHeight="1" x14ac:dyDescent="0.2">
      <c r="A284" s="3" t="s">
        <v>352</v>
      </c>
      <c r="B284" s="3" t="s">
        <v>1083</v>
      </c>
      <c r="C284" s="3" t="s">
        <v>1084</v>
      </c>
      <c r="D284" s="4">
        <v>1972</v>
      </c>
      <c r="E284" s="4">
        <v>1972</v>
      </c>
      <c r="F284" s="16">
        <v>6857</v>
      </c>
      <c r="G284" s="5" t="s">
        <v>343</v>
      </c>
      <c r="H284" s="5" t="s">
        <v>163</v>
      </c>
      <c r="I284" s="42">
        <v>2222642</v>
      </c>
      <c r="J284" s="7">
        <v>44837</v>
      </c>
      <c r="K284" s="7">
        <f t="shared" si="18"/>
        <v>45557</v>
      </c>
      <c r="L284" s="17" t="s">
        <v>99</v>
      </c>
    </row>
    <row r="285" spans="1:13" s="13" customFormat="1" ht="18" customHeight="1" x14ac:dyDescent="0.2">
      <c r="A285" s="3" t="s">
        <v>1260</v>
      </c>
      <c r="B285" s="3"/>
      <c r="C285" s="3"/>
      <c r="D285" s="74">
        <v>1811</v>
      </c>
      <c r="E285" s="4">
        <v>1811</v>
      </c>
      <c r="F285" s="16" t="s">
        <v>354</v>
      </c>
      <c r="G285" s="5" t="s">
        <v>355</v>
      </c>
      <c r="H285" s="5" t="s">
        <v>163</v>
      </c>
      <c r="I285" s="42">
        <v>2415662</v>
      </c>
      <c r="J285" s="7">
        <v>45461</v>
      </c>
      <c r="K285" s="7">
        <f t="shared" si="18"/>
        <v>46181</v>
      </c>
      <c r="L285" s="17" t="s">
        <v>1257</v>
      </c>
    </row>
    <row r="286" spans="1:13" s="14" customFormat="1" ht="18" customHeight="1" x14ac:dyDescent="0.2">
      <c r="A286" s="3" t="s">
        <v>404</v>
      </c>
      <c r="B286" s="3"/>
      <c r="C286" s="3" t="s">
        <v>405</v>
      </c>
      <c r="D286" s="4">
        <v>136</v>
      </c>
      <c r="E286" s="4">
        <v>136</v>
      </c>
      <c r="F286" s="16">
        <v>927205</v>
      </c>
      <c r="G286" s="5" t="s">
        <v>406</v>
      </c>
      <c r="H286" s="5" t="s">
        <v>407</v>
      </c>
      <c r="I286" s="6" t="s">
        <v>408</v>
      </c>
      <c r="J286" s="7">
        <v>44022</v>
      </c>
      <c r="K286" s="7">
        <f t="shared" si="18"/>
        <v>44742</v>
      </c>
      <c r="L286" s="17" t="s">
        <v>99</v>
      </c>
      <c r="M286" s="13"/>
    </row>
    <row r="287" spans="1:13" s="14" customFormat="1" ht="18" customHeight="1" x14ac:dyDescent="0.2">
      <c r="A287" s="3" t="s">
        <v>404</v>
      </c>
      <c r="B287" s="3"/>
      <c r="C287" s="3" t="s">
        <v>405</v>
      </c>
      <c r="D287" s="4">
        <v>137</v>
      </c>
      <c r="E287" s="4">
        <v>137</v>
      </c>
      <c r="F287" s="16">
        <v>927269</v>
      </c>
      <c r="G287" s="5" t="s">
        <v>406</v>
      </c>
      <c r="H287" s="5" t="s">
        <v>407</v>
      </c>
      <c r="I287" s="6" t="s">
        <v>409</v>
      </c>
      <c r="J287" s="7">
        <v>44022</v>
      </c>
      <c r="K287" s="7">
        <f t="shared" si="18"/>
        <v>44742</v>
      </c>
      <c r="L287" s="17" t="s">
        <v>99</v>
      </c>
      <c r="M287" s="13"/>
    </row>
    <row r="288" spans="1:13" s="13" customFormat="1" ht="18" customHeight="1" x14ac:dyDescent="0.2">
      <c r="A288" s="3" t="s">
        <v>404</v>
      </c>
      <c r="B288" s="3"/>
      <c r="C288" s="3" t="s">
        <v>405</v>
      </c>
      <c r="D288" s="4">
        <v>138</v>
      </c>
      <c r="E288" s="4">
        <v>138</v>
      </c>
      <c r="F288" s="16">
        <v>909099</v>
      </c>
      <c r="G288" s="5" t="s">
        <v>406</v>
      </c>
      <c r="H288" s="5" t="s">
        <v>163</v>
      </c>
      <c r="I288" s="42">
        <v>2222015</v>
      </c>
      <c r="J288" s="7">
        <v>44840</v>
      </c>
      <c r="K288" s="7">
        <f t="shared" si="18"/>
        <v>45560</v>
      </c>
      <c r="L288" s="17" t="s">
        <v>99</v>
      </c>
    </row>
    <row r="289" spans="1:13" s="14" customFormat="1" ht="18" customHeight="1" x14ac:dyDescent="0.2">
      <c r="A289" s="3" t="s">
        <v>404</v>
      </c>
      <c r="B289" s="3"/>
      <c r="C289" s="3" t="s">
        <v>405</v>
      </c>
      <c r="D289" s="4">
        <v>139</v>
      </c>
      <c r="E289" s="4">
        <v>139</v>
      </c>
      <c r="F289" s="16">
        <v>927263</v>
      </c>
      <c r="G289" s="5" t="s">
        <v>406</v>
      </c>
      <c r="H289" s="5" t="s">
        <v>407</v>
      </c>
      <c r="I289" s="6" t="s">
        <v>410</v>
      </c>
      <c r="J289" s="7">
        <v>44022</v>
      </c>
      <c r="K289" s="7">
        <f t="shared" si="18"/>
        <v>44742</v>
      </c>
      <c r="L289" s="17" t="s">
        <v>99</v>
      </c>
      <c r="M289" s="13"/>
    </row>
    <row r="290" spans="1:13" s="14" customFormat="1" ht="18" customHeight="1" x14ac:dyDescent="0.2">
      <c r="A290" s="3" t="s">
        <v>404</v>
      </c>
      <c r="B290" s="3"/>
      <c r="C290" s="3" t="s">
        <v>405</v>
      </c>
      <c r="D290" s="74">
        <v>2055</v>
      </c>
      <c r="E290" s="4">
        <v>2055</v>
      </c>
      <c r="F290" s="16" t="s">
        <v>874</v>
      </c>
      <c r="G290" s="5" t="s">
        <v>406</v>
      </c>
      <c r="H290" s="5" t="s">
        <v>163</v>
      </c>
      <c r="I290" s="42">
        <v>2415668</v>
      </c>
      <c r="J290" s="7">
        <v>45462</v>
      </c>
      <c r="K290" s="7">
        <f t="shared" si="18"/>
        <v>46182</v>
      </c>
      <c r="L290" s="17" t="s">
        <v>1257</v>
      </c>
      <c r="M290" s="13"/>
    </row>
    <row r="291" spans="1:13" s="14" customFormat="1" ht="18" customHeight="1" x14ac:dyDescent="0.2">
      <c r="A291" s="3" t="s">
        <v>1410</v>
      </c>
      <c r="B291" s="3"/>
      <c r="C291" s="3" t="s">
        <v>1411</v>
      </c>
      <c r="D291" s="18">
        <v>2194</v>
      </c>
      <c r="E291" s="4">
        <v>2194</v>
      </c>
      <c r="F291" s="4" t="s">
        <v>1412</v>
      </c>
      <c r="G291" s="5" t="s">
        <v>1412</v>
      </c>
      <c r="H291" s="5" t="s">
        <v>1413</v>
      </c>
      <c r="I291" s="42" t="s">
        <v>1414</v>
      </c>
      <c r="J291" s="7">
        <v>45671</v>
      </c>
      <c r="K291" s="7">
        <f>J291+365</f>
        <v>46036</v>
      </c>
      <c r="L291" s="17" t="s">
        <v>1257</v>
      </c>
      <c r="M291" s="13"/>
    </row>
    <row r="292" spans="1:13" s="13" customFormat="1" ht="18" customHeight="1" x14ac:dyDescent="0.2">
      <c r="A292" s="3" t="s">
        <v>861</v>
      </c>
      <c r="B292" s="3" t="s">
        <v>1116</v>
      </c>
      <c r="C292" s="3" t="s">
        <v>312</v>
      </c>
      <c r="D292" s="74">
        <v>1933</v>
      </c>
      <c r="E292" s="4">
        <v>1933</v>
      </c>
      <c r="F292" s="16" t="s">
        <v>860</v>
      </c>
      <c r="G292" s="5" t="s">
        <v>313</v>
      </c>
      <c r="H292" s="5" t="s">
        <v>163</v>
      </c>
      <c r="I292" s="42">
        <v>2415669</v>
      </c>
      <c r="J292" s="7">
        <v>45462</v>
      </c>
      <c r="K292" s="7">
        <f>J292+365</f>
        <v>45827</v>
      </c>
      <c r="L292" s="17" t="s">
        <v>1257</v>
      </c>
    </row>
    <row r="293" spans="1:13" s="13" customFormat="1" ht="18" customHeight="1" x14ac:dyDescent="0.2">
      <c r="A293" s="3" t="s">
        <v>185</v>
      </c>
      <c r="B293" s="3" t="s">
        <v>1366</v>
      </c>
      <c r="C293" s="3" t="s">
        <v>182</v>
      </c>
      <c r="D293" s="4">
        <v>1929</v>
      </c>
      <c r="E293" s="4">
        <v>1929</v>
      </c>
      <c r="F293" s="16">
        <v>130810023</v>
      </c>
      <c r="G293" s="5" t="s">
        <v>183</v>
      </c>
      <c r="H293" s="5" t="s">
        <v>163</v>
      </c>
      <c r="I293" s="6" t="s">
        <v>1366</v>
      </c>
      <c r="J293" s="5" t="s">
        <v>1366</v>
      </c>
      <c r="K293" s="7" t="s">
        <v>1366</v>
      </c>
      <c r="L293" s="17" t="s">
        <v>99</v>
      </c>
    </row>
    <row r="294" spans="1:13" s="13" customFormat="1" ht="18" customHeight="1" x14ac:dyDescent="0.2">
      <c r="A294" s="3" t="s">
        <v>1173</v>
      </c>
      <c r="B294" s="3"/>
      <c r="C294" s="3" t="s">
        <v>53</v>
      </c>
      <c r="D294" s="4">
        <v>1928</v>
      </c>
      <c r="E294" s="4">
        <v>1928</v>
      </c>
      <c r="F294" s="16" t="s">
        <v>544</v>
      </c>
      <c r="G294" s="5" t="s">
        <v>545</v>
      </c>
      <c r="H294" s="5" t="s">
        <v>171</v>
      </c>
      <c r="I294" s="6">
        <v>1906616</v>
      </c>
      <c r="J294" s="7">
        <v>43773</v>
      </c>
      <c r="K294" s="7">
        <f t="shared" ref="K294:K303" si="19">J294+720</f>
        <v>44493</v>
      </c>
      <c r="L294" s="17" t="s">
        <v>99</v>
      </c>
    </row>
    <row r="295" spans="1:13" s="13" customFormat="1" ht="18" customHeight="1" x14ac:dyDescent="0.2">
      <c r="A295" s="3" t="s">
        <v>1488</v>
      </c>
      <c r="B295" s="3" t="s">
        <v>1495</v>
      </c>
      <c r="C295" s="3" t="s">
        <v>13</v>
      </c>
      <c r="D295" s="4" t="s">
        <v>13</v>
      </c>
      <c r="E295" s="4">
        <v>210624468</v>
      </c>
      <c r="F295" s="16" t="s">
        <v>13</v>
      </c>
      <c r="G295" s="5" t="s">
        <v>1489</v>
      </c>
      <c r="H295" s="5" t="s">
        <v>184</v>
      </c>
      <c r="I295" s="6" t="s">
        <v>1490</v>
      </c>
      <c r="J295" s="7">
        <v>45510</v>
      </c>
      <c r="K295" s="7">
        <f>J295+720</f>
        <v>46230</v>
      </c>
      <c r="L295" s="17" t="s">
        <v>1257</v>
      </c>
    </row>
    <row r="296" spans="1:13" s="13" customFormat="1" ht="18" customHeight="1" x14ac:dyDescent="0.2">
      <c r="A296" s="3" t="s">
        <v>1491</v>
      </c>
      <c r="B296" s="3" t="s">
        <v>1495</v>
      </c>
      <c r="C296" s="3"/>
      <c r="D296" s="4" t="s">
        <v>13</v>
      </c>
      <c r="E296" s="4" t="s">
        <v>13</v>
      </c>
      <c r="F296" s="4" t="s">
        <v>13</v>
      </c>
      <c r="G296" s="5" t="s">
        <v>1492</v>
      </c>
      <c r="H296" s="5" t="s">
        <v>1493</v>
      </c>
      <c r="I296" s="6" t="s">
        <v>1494</v>
      </c>
      <c r="J296" s="7">
        <v>45537</v>
      </c>
      <c r="K296" s="7">
        <f t="shared" si="19"/>
        <v>46257</v>
      </c>
      <c r="L296" s="17" t="s">
        <v>1257</v>
      </c>
    </row>
    <row r="297" spans="1:13" s="13" customFormat="1" ht="18" customHeight="1" x14ac:dyDescent="0.2">
      <c r="A297" s="3" t="s">
        <v>931</v>
      </c>
      <c r="B297" s="3"/>
      <c r="C297" s="3" t="s">
        <v>1102</v>
      </c>
      <c r="D297" s="41" t="s">
        <v>1101</v>
      </c>
      <c r="E297" s="4">
        <v>7</v>
      </c>
      <c r="F297" s="16" t="s">
        <v>1103</v>
      </c>
      <c r="G297" s="5" t="s">
        <v>1104</v>
      </c>
      <c r="H297" s="5" t="s">
        <v>234</v>
      </c>
      <c r="I297" s="6">
        <v>2203247</v>
      </c>
      <c r="J297" s="7">
        <v>44763</v>
      </c>
      <c r="K297" s="7">
        <f t="shared" si="19"/>
        <v>45483</v>
      </c>
      <c r="L297" s="17" t="s">
        <v>99</v>
      </c>
    </row>
    <row r="298" spans="1:13" s="13" customFormat="1" ht="18" customHeight="1" x14ac:dyDescent="0.2">
      <c r="A298" s="3" t="s">
        <v>931</v>
      </c>
      <c r="B298" s="3" t="s">
        <v>1181</v>
      </c>
      <c r="C298" s="3" t="s">
        <v>8</v>
      </c>
      <c r="D298" s="41" t="s">
        <v>1179</v>
      </c>
      <c r="E298" s="4">
        <v>953</v>
      </c>
      <c r="F298" s="16" t="s">
        <v>1180</v>
      </c>
      <c r="G298" s="5" t="s">
        <v>24</v>
      </c>
      <c r="H298" s="5" t="s">
        <v>234</v>
      </c>
      <c r="I298" s="42">
        <v>2300535</v>
      </c>
      <c r="J298" s="60">
        <v>44979</v>
      </c>
      <c r="K298" s="7">
        <f t="shared" si="19"/>
        <v>45699</v>
      </c>
      <c r="L298" s="17" t="s">
        <v>99</v>
      </c>
    </row>
    <row r="299" spans="1:13" s="14" customFormat="1" ht="18" customHeight="1" x14ac:dyDescent="0.2">
      <c r="A299" s="3" t="s">
        <v>931</v>
      </c>
      <c r="B299" s="3" t="s">
        <v>1181</v>
      </c>
      <c r="C299" s="3" t="s">
        <v>8</v>
      </c>
      <c r="D299" s="41" t="s">
        <v>1182</v>
      </c>
      <c r="E299" s="4">
        <v>958</v>
      </c>
      <c r="F299" s="16" t="s">
        <v>1183</v>
      </c>
      <c r="G299" s="5" t="s">
        <v>24</v>
      </c>
      <c r="H299" s="5" t="s">
        <v>234</v>
      </c>
      <c r="I299" s="42">
        <v>2300536</v>
      </c>
      <c r="J299" s="7">
        <v>44979</v>
      </c>
      <c r="K299" s="7">
        <f t="shared" si="19"/>
        <v>45699</v>
      </c>
      <c r="L299" s="17" t="s">
        <v>99</v>
      </c>
      <c r="M299" s="13"/>
    </row>
    <row r="300" spans="1:13" s="13" customFormat="1" ht="18" customHeight="1" x14ac:dyDescent="0.2">
      <c r="A300" s="3" t="s">
        <v>931</v>
      </c>
      <c r="B300" s="3"/>
      <c r="C300" s="3" t="s">
        <v>8</v>
      </c>
      <c r="D300" s="4">
        <v>1116</v>
      </c>
      <c r="E300" s="4">
        <v>1116</v>
      </c>
      <c r="F300" s="16" t="s">
        <v>23</v>
      </c>
      <c r="G300" s="5" t="s">
        <v>24</v>
      </c>
      <c r="H300" s="5" t="s">
        <v>163</v>
      </c>
      <c r="I300" s="42">
        <v>2224239</v>
      </c>
      <c r="J300" s="7">
        <v>44853</v>
      </c>
      <c r="K300" s="7">
        <f t="shared" si="19"/>
        <v>45573</v>
      </c>
      <c r="L300" s="17" t="s">
        <v>99</v>
      </c>
    </row>
    <row r="301" spans="1:13" s="14" customFormat="1" ht="18" customHeight="1" x14ac:dyDescent="0.2">
      <c r="A301" s="3" t="s">
        <v>931</v>
      </c>
      <c r="B301" s="3"/>
      <c r="C301" s="3" t="s">
        <v>1102</v>
      </c>
      <c r="D301" s="4">
        <v>1564</v>
      </c>
      <c r="E301" s="4">
        <v>1564</v>
      </c>
      <c r="F301" s="16" t="s">
        <v>1174</v>
      </c>
      <c r="G301" s="5" t="s">
        <v>1104</v>
      </c>
      <c r="H301" s="5" t="s">
        <v>234</v>
      </c>
      <c r="I301" s="42">
        <v>2300533</v>
      </c>
      <c r="J301" s="7">
        <v>44977</v>
      </c>
      <c r="K301" s="7">
        <f t="shared" si="19"/>
        <v>45697</v>
      </c>
      <c r="L301" s="17" t="s">
        <v>99</v>
      </c>
      <c r="M301" s="13"/>
    </row>
    <row r="302" spans="1:13" s="14" customFormat="1" ht="18" customHeight="1" x14ac:dyDescent="0.2">
      <c r="A302" s="3" t="s">
        <v>931</v>
      </c>
      <c r="B302" s="3"/>
      <c r="C302" s="3" t="s">
        <v>1102</v>
      </c>
      <c r="D302" s="4">
        <v>1819</v>
      </c>
      <c r="E302" s="4">
        <v>1819</v>
      </c>
      <c r="F302" s="16" t="s">
        <v>1175</v>
      </c>
      <c r="G302" s="5" t="s">
        <v>1104</v>
      </c>
      <c r="H302" s="5" t="s">
        <v>234</v>
      </c>
      <c r="I302" s="42">
        <v>2300534</v>
      </c>
      <c r="J302" s="7">
        <v>44977</v>
      </c>
      <c r="K302" s="7">
        <f t="shared" si="19"/>
        <v>45697</v>
      </c>
      <c r="L302" s="17" t="s">
        <v>99</v>
      </c>
      <c r="M302" s="13"/>
    </row>
    <row r="303" spans="1:13" s="14" customFormat="1" ht="18" customHeight="1" x14ac:dyDescent="0.2">
      <c r="A303" s="3" t="s">
        <v>931</v>
      </c>
      <c r="B303" s="3"/>
      <c r="C303" s="3" t="s">
        <v>1102</v>
      </c>
      <c r="D303" s="4">
        <v>1820</v>
      </c>
      <c r="E303" s="4">
        <v>1820</v>
      </c>
      <c r="F303" s="16" t="s">
        <v>1176</v>
      </c>
      <c r="G303" s="5" t="s">
        <v>1177</v>
      </c>
      <c r="H303" s="5" t="s">
        <v>234</v>
      </c>
      <c r="I303" s="42">
        <v>2300532</v>
      </c>
      <c r="J303" s="7">
        <v>44977</v>
      </c>
      <c r="K303" s="7">
        <f t="shared" si="19"/>
        <v>45697</v>
      </c>
      <c r="L303" s="17" t="s">
        <v>99</v>
      </c>
      <c r="M303" s="13"/>
    </row>
    <row r="304" spans="1:13" s="14" customFormat="1" ht="18" customHeight="1" x14ac:dyDescent="0.2">
      <c r="A304" s="3" t="s">
        <v>1538</v>
      </c>
      <c r="B304" s="3" t="s">
        <v>1536</v>
      </c>
      <c r="C304" s="3" t="s">
        <v>297</v>
      </c>
      <c r="D304" s="4">
        <v>317</v>
      </c>
      <c r="E304" s="4">
        <v>317</v>
      </c>
      <c r="F304" s="16">
        <v>181218545</v>
      </c>
      <c r="G304" s="5" t="s">
        <v>1537</v>
      </c>
      <c r="H304" s="5" t="s">
        <v>163</v>
      </c>
      <c r="I304" s="42">
        <v>2506016</v>
      </c>
      <c r="J304" s="7">
        <v>45715</v>
      </c>
      <c r="K304" s="7">
        <f t="shared" ref="K304:K317" si="20">J304+540</f>
        <v>46255</v>
      </c>
      <c r="L304" s="17" t="s">
        <v>99</v>
      </c>
      <c r="M304" s="13"/>
    </row>
    <row r="305" spans="1:13" s="14" customFormat="1" ht="18" customHeight="1" x14ac:dyDescent="0.2">
      <c r="A305" s="3" t="s">
        <v>1538</v>
      </c>
      <c r="B305" s="3" t="s">
        <v>1539</v>
      </c>
      <c r="C305" s="3" t="s">
        <v>297</v>
      </c>
      <c r="D305" s="74">
        <v>1835</v>
      </c>
      <c r="E305" s="4">
        <v>1835</v>
      </c>
      <c r="F305" s="16">
        <v>130730249</v>
      </c>
      <c r="G305" s="5" t="s">
        <v>1540</v>
      </c>
      <c r="H305" s="5" t="s">
        <v>163</v>
      </c>
      <c r="I305" s="42">
        <v>2506015</v>
      </c>
      <c r="J305" s="7">
        <v>45715</v>
      </c>
      <c r="K305" s="7">
        <f t="shared" ref="K305" si="21">J305+540</f>
        <v>46255</v>
      </c>
      <c r="L305" s="17" t="s">
        <v>1257</v>
      </c>
      <c r="M305" s="13"/>
    </row>
    <row r="306" spans="1:13" s="13" customFormat="1" ht="18" customHeight="1" x14ac:dyDescent="0.2">
      <c r="A306" s="3" t="s">
        <v>673</v>
      </c>
      <c r="B306" s="3"/>
      <c r="C306" s="3" t="s">
        <v>297</v>
      </c>
      <c r="D306" s="4">
        <v>319</v>
      </c>
      <c r="E306" s="4">
        <v>319</v>
      </c>
      <c r="F306" s="16">
        <v>181230319</v>
      </c>
      <c r="G306" s="5" t="s">
        <v>13</v>
      </c>
      <c r="H306" s="5" t="s">
        <v>163</v>
      </c>
      <c r="I306" s="6">
        <v>2302059</v>
      </c>
      <c r="J306" s="7">
        <v>44952</v>
      </c>
      <c r="K306" s="7">
        <f t="shared" si="20"/>
        <v>45492</v>
      </c>
      <c r="L306" s="17" t="s">
        <v>99</v>
      </c>
    </row>
    <row r="307" spans="1:13" s="13" customFormat="1" ht="18" customHeight="1" x14ac:dyDescent="0.2">
      <c r="A307" s="3" t="s">
        <v>673</v>
      </c>
      <c r="B307" s="3" t="s">
        <v>1525</v>
      </c>
      <c r="C307" s="3" t="s">
        <v>297</v>
      </c>
      <c r="D307" s="4">
        <v>320</v>
      </c>
      <c r="E307" s="4">
        <v>320</v>
      </c>
      <c r="F307" s="16">
        <v>181058523</v>
      </c>
      <c r="G307" s="5" t="s">
        <v>426</v>
      </c>
      <c r="H307" s="5" t="s">
        <v>16</v>
      </c>
      <c r="I307" s="6" t="s">
        <v>831</v>
      </c>
      <c r="J307" s="7">
        <v>44579</v>
      </c>
      <c r="K307" s="7">
        <f t="shared" si="20"/>
        <v>45119</v>
      </c>
      <c r="L307" s="17" t="s">
        <v>99</v>
      </c>
    </row>
    <row r="308" spans="1:13" s="13" customFormat="1" ht="18" customHeight="1" x14ac:dyDescent="0.2">
      <c r="A308" s="3" t="s">
        <v>673</v>
      </c>
      <c r="B308" s="3"/>
      <c r="C308" s="3" t="s">
        <v>297</v>
      </c>
      <c r="D308" s="4">
        <v>1837</v>
      </c>
      <c r="E308" s="4">
        <v>1837</v>
      </c>
      <c r="F308" s="16">
        <v>111058547</v>
      </c>
      <c r="G308" s="5" t="s">
        <v>13</v>
      </c>
      <c r="H308" s="5" t="s">
        <v>16</v>
      </c>
      <c r="I308" s="6" t="s">
        <v>258</v>
      </c>
      <c r="J308" s="7">
        <v>44020</v>
      </c>
      <c r="K308" s="7">
        <f t="shared" si="20"/>
        <v>44560</v>
      </c>
      <c r="L308" s="17" t="s">
        <v>99</v>
      </c>
    </row>
    <row r="309" spans="1:13" s="13" customFormat="1" ht="18" customHeight="1" x14ac:dyDescent="0.2">
      <c r="A309" s="3" t="s">
        <v>673</v>
      </c>
      <c r="B309" s="3"/>
      <c r="C309" s="3" t="s">
        <v>297</v>
      </c>
      <c r="D309" s="4">
        <v>1918</v>
      </c>
      <c r="E309" s="4">
        <v>1918</v>
      </c>
      <c r="F309" s="16">
        <v>1700418480</v>
      </c>
      <c r="G309" s="5" t="s">
        <v>401</v>
      </c>
      <c r="H309" s="5" t="s">
        <v>163</v>
      </c>
      <c r="I309" s="6">
        <v>2302058</v>
      </c>
      <c r="J309" s="7">
        <v>44952</v>
      </c>
      <c r="K309" s="7">
        <f t="shared" si="20"/>
        <v>45492</v>
      </c>
      <c r="L309" s="17" t="s">
        <v>99</v>
      </c>
    </row>
    <row r="310" spans="1:13" s="15" customFormat="1" ht="18" customHeight="1" x14ac:dyDescent="0.2">
      <c r="A310" s="3" t="s">
        <v>673</v>
      </c>
      <c r="B310" s="3"/>
      <c r="C310" s="3" t="s">
        <v>297</v>
      </c>
      <c r="D310" s="4" t="s">
        <v>546</v>
      </c>
      <c r="E310" s="4" t="s">
        <v>546</v>
      </c>
      <c r="F310" s="16">
        <v>181230319</v>
      </c>
      <c r="G310" s="5">
        <v>110224</v>
      </c>
      <c r="H310" s="5" t="s">
        <v>422</v>
      </c>
      <c r="I310" s="6" t="s">
        <v>444</v>
      </c>
      <c r="J310" s="7">
        <v>44025</v>
      </c>
      <c r="K310" s="7">
        <f t="shared" si="20"/>
        <v>44565</v>
      </c>
      <c r="L310" s="17" t="s">
        <v>99</v>
      </c>
      <c r="M310" s="13"/>
    </row>
    <row r="311" spans="1:13" s="13" customFormat="1" ht="18" customHeight="1" x14ac:dyDescent="0.2">
      <c r="A311" s="3" t="s">
        <v>673</v>
      </c>
      <c r="B311" s="3"/>
      <c r="C311" s="3" t="s">
        <v>297</v>
      </c>
      <c r="D311" s="4" t="s">
        <v>547</v>
      </c>
      <c r="E311" s="4" t="s">
        <v>547</v>
      </c>
      <c r="F311" s="16">
        <v>181218545</v>
      </c>
      <c r="G311" s="5">
        <v>110223</v>
      </c>
      <c r="H311" s="5" t="s">
        <v>422</v>
      </c>
      <c r="I311" s="6" t="s">
        <v>445</v>
      </c>
      <c r="J311" s="7">
        <v>44025</v>
      </c>
      <c r="K311" s="7">
        <f t="shared" si="20"/>
        <v>44565</v>
      </c>
      <c r="L311" s="17" t="s">
        <v>99</v>
      </c>
    </row>
    <row r="312" spans="1:13" s="13" customFormat="1" ht="18" customHeight="1" x14ac:dyDescent="0.2">
      <c r="A312" s="3" t="s">
        <v>673</v>
      </c>
      <c r="B312" s="3"/>
      <c r="C312" s="3" t="s">
        <v>297</v>
      </c>
      <c r="D312" s="4" t="s">
        <v>298</v>
      </c>
      <c r="E312" s="4" t="s">
        <v>298</v>
      </c>
      <c r="F312" s="16">
        <v>100571662</v>
      </c>
      <c r="G312" s="5" t="s">
        <v>13</v>
      </c>
      <c r="H312" s="5" t="s">
        <v>16</v>
      </c>
      <c r="I312" s="6" t="s">
        <v>299</v>
      </c>
      <c r="J312" s="7">
        <v>43692</v>
      </c>
      <c r="K312" s="7">
        <f t="shared" si="20"/>
        <v>44232</v>
      </c>
      <c r="L312" s="17" t="s">
        <v>99</v>
      </c>
    </row>
    <row r="313" spans="1:13" s="13" customFormat="1" ht="18" customHeight="1" x14ac:dyDescent="0.2">
      <c r="A313" s="3" t="s">
        <v>673</v>
      </c>
      <c r="B313" s="3" t="s">
        <v>1524</v>
      </c>
      <c r="C313" s="3"/>
      <c r="D313" s="4">
        <v>1835</v>
      </c>
      <c r="E313" s="4"/>
      <c r="F313" s="16"/>
      <c r="G313" s="5"/>
      <c r="H313" s="5"/>
      <c r="I313" s="6"/>
      <c r="J313" s="7"/>
      <c r="K313" s="7"/>
      <c r="L313" s="17"/>
    </row>
    <row r="314" spans="1:13" s="13" customFormat="1" ht="18" customHeight="1" x14ac:dyDescent="0.2">
      <c r="A314" s="3" t="s">
        <v>25</v>
      </c>
      <c r="B314" s="3"/>
      <c r="C314" s="3" t="s">
        <v>8</v>
      </c>
      <c r="D314" s="4">
        <v>1412</v>
      </c>
      <c r="E314" s="4" t="s">
        <v>45</v>
      </c>
      <c r="F314" s="16" t="s">
        <v>51</v>
      </c>
      <c r="G314" s="5" t="s">
        <v>26</v>
      </c>
      <c r="H314" s="5" t="s">
        <v>163</v>
      </c>
      <c r="I314" s="6">
        <v>2224246</v>
      </c>
      <c r="J314" s="7">
        <v>44854</v>
      </c>
      <c r="K314" s="7">
        <f t="shared" si="20"/>
        <v>45394</v>
      </c>
      <c r="L314" s="17" t="s">
        <v>99</v>
      </c>
    </row>
    <row r="315" spans="1:13" s="15" customFormat="1" ht="18" customHeight="1" x14ac:dyDescent="0.2">
      <c r="A315" s="3" t="s">
        <v>25</v>
      </c>
      <c r="B315" s="3"/>
      <c r="C315" s="3" t="s">
        <v>8</v>
      </c>
      <c r="D315" s="4">
        <v>1847</v>
      </c>
      <c r="E315" s="4">
        <v>1847</v>
      </c>
      <c r="F315" s="16" t="s">
        <v>13</v>
      </c>
      <c r="G315" s="5" t="s">
        <v>339</v>
      </c>
      <c r="H315" s="5" t="s">
        <v>16</v>
      </c>
      <c r="I315" s="6" t="s">
        <v>834</v>
      </c>
      <c r="J315" s="7">
        <v>44585</v>
      </c>
      <c r="K315" s="7">
        <f t="shared" si="20"/>
        <v>45125</v>
      </c>
      <c r="L315" s="17" t="s">
        <v>99</v>
      </c>
      <c r="M315" s="13"/>
    </row>
    <row r="316" spans="1:13" s="15" customFormat="1" ht="18" customHeight="1" x14ac:dyDescent="0.2">
      <c r="A316" s="3" t="s">
        <v>25</v>
      </c>
      <c r="B316" s="3"/>
      <c r="C316" s="3" t="s">
        <v>35</v>
      </c>
      <c r="D316" s="4">
        <v>1848</v>
      </c>
      <c r="E316" s="4">
        <v>1848</v>
      </c>
      <c r="F316" s="16" t="s">
        <v>13</v>
      </c>
      <c r="G316" s="5" t="s">
        <v>356</v>
      </c>
      <c r="H316" s="5" t="s">
        <v>163</v>
      </c>
      <c r="I316" s="42">
        <v>2309343</v>
      </c>
      <c r="J316" s="7">
        <v>45072</v>
      </c>
      <c r="K316" s="7">
        <f t="shared" si="20"/>
        <v>45612</v>
      </c>
      <c r="L316" s="17" t="s">
        <v>99</v>
      </c>
      <c r="M316" s="13"/>
    </row>
    <row r="317" spans="1:13" s="15" customFormat="1" ht="18" customHeight="1" x14ac:dyDescent="0.2">
      <c r="A317" s="3" t="s">
        <v>239</v>
      </c>
      <c r="B317" s="3"/>
      <c r="C317" s="3" t="s">
        <v>35</v>
      </c>
      <c r="D317" s="74">
        <v>1434</v>
      </c>
      <c r="E317" s="4">
        <v>1434</v>
      </c>
      <c r="F317" s="16">
        <v>87840176</v>
      </c>
      <c r="G317" s="5" t="s">
        <v>152</v>
      </c>
      <c r="H317" s="5" t="s">
        <v>163</v>
      </c>
      <c r="I317" s="42">
        <v>2415649</v>
      </c>
      <c r="J317" s="7">
        <v>45464</v>
      </c>
      <c r="K317" s="7">
        <f t="shared" si="20"/>
        <v>46004</v>
      </c>
      <c r="L317" s="17" t="s">
        <v>1257</v>
      </c>
      <c r="M317" s="13"/>
    </row>
    <row r="318" spans="1:13" s="14" customFormat="1" ht="18" customHeight="1" x14ac:dyDescent="0.2">
      <c r="A318" s="3" t="s">
        <v>27</v>
      </c>
      <c r="B318" s="3"/>
      <c r="C318" s="3" t="s">
        <v>20</v>
      </c>
      <c r="D318" s="4" t="s">
        <v>471</v>
      </c>
      <c r="E318" s="4" t="s">
        <v>471</v>
      </c>
      <c r="F318" s="16" t="s">
        <v>13</v>
      </c>
      <c r="G318" s="5" t="s">
        <v>472</v>
      </c>
      <c r="H318" s="5" t="s">
        <v>16</v>
      </c>
      <c r="I318" s="6" t="s">
        <v>473</v>
      </c>
      <c r="J318" s="7">
        <v>44027</v>
      </c>
      <c r="K318" s="7">
        <f t="shared" ref="K318:K328" si="22">J318+720</f>
        <v>44747</v>
      </c>
      <c r="L318" s="17" t="s">
        <v>99</v>
      </c>
      <c r="M318" s="13"/>
    </row>
    <row r="319" spans="1:13" s="13" customFormat="1" ht="18" customHeight="1" x14ac:dyDescent="0.2">
      <c r="A319" s="3" t="s">
        <v>27</v>
      </c>
      <c r="B319" s="3"/>
      <c r="C319" s="3" t="s">
        <v>20</v>
      </c>
      <c r="D319" s="4" t="s">
        <v>474</v>
      </c>
      <c r="E319" s="4" t="s">
        <v>474</v>
      </c>
      <c r="F319" s="16" t="s">
        <v>13</v>
      </c>
      <c r="G319" s="5" t="s">
        <v>472</v>
      </c>
      <c r="H319" s="5" t="s">
        <v>16</v>
      </c>
      <c r="I319" s="6" t="s">
        <v>475</v>
      </c>
      <c r="J319" s="7">
        <v>44027</v>
      </c>
      <c r="K319" s="7">
        <f t="shared" si="22"/>
        <v>44747</v>
      </c>
      <c r="L319" s="17" t="s">
        <v>99</v>
      </c>
    </row>
    <row r="320" spans="1:13" s="13" customFormat="1" ht="18" customHeight="1" x14ac:dyDescent="0.2">
      <c r="A320" s="3" t="s">
        <v>27</v>
      </c>
      <c r="B320" s="3"/>
      <c r="C320" s="3" t="s">
        <v>20</v>
      </c>
      <c r="D320" s="4" t="s">
        <v>476</v>
      </c>
      <c r="E320" s="4" t="s">
        <v>476</v>
      </c>
      <c r="F320" s="16" t="s">
        <v>13</v>
      </c>
      <c r="G320" s="5" t="s">
        <v>472</v>
      </c>
      <c r="H320" s="5" t="s">
        <v>16</v>
      </c>
      <c r="I320" s="6" t="s">
        <v>477</v>
      </c>
      <c r="J320" s="7">
        <v>44027</v>
      </c>
      <c r="K320" s="7">
        <f t="shared" si="22"/>
        <v>44747</v>
      </c>
      <c r="L320" s="17" t="s">
        <v>99</v>
      </c>
    </row>
    <row r="321" spans="1:13" s="13" customFormat="1" ht="18" customHeight="1" x14ac:dyDescent="0.2">
      <c r="A321" s="3" t="s">
        <v>27</v>
      </c>
      <c r="B321" s="3"/>
      <c r="C321" s="3" t="s">
        <v>20</v>
      </c>
      <c r="D321" s="4" t="s">
        <v>478</v>
      </c>
      <c r="E321" s="4" t="s">
        <v>478</v>
      </c>
      <c r="F321" s="16" t="s">
        <v>13</v>
      </c>
      <c r="G321" s="5" t="s">
        <v>472</v>
      </c>
      <c r="H321" s="5" t="s">
        <v>16</v>
      </c>
      <c r="I321" s="6" t="s">
        <v>479</v>
      </c>
      <c r="J321" s="7">
        <v>44027</v>
      </c>
      <c r="K321" s="7">
        <f t="shared" si="22"/>
        <v>44747</v>
      </c>
      <c r="L321" s="17" t="s">
        <v>99</v>
      </c>
    </row>
    <row r="322" spans="1:13" s="13" customFormat="1" ht="18" customHeight="1" x14ac:dyDescent="0.2">
      <c r="A322" s="3" t="s">
        <v>27</v>
      </c>
      <c r="B322" s="3"/>
      <c r="C322" s="3" t="s">
        <v>20</v>
      </c>
      <c r="D322" s="4" t="s">
        <v>480</v>
      </c>
      <c r="E322" s="4" t="s">
        <v>480</v>
      </c>
      <c r="F322" s="16" t="s">
        <v>13</v>
      </c>
      <c r="G322" s="5" t="s">
        <v>472</v>
      </c>
      <c r="H322" s="5" t="s">
        <v>16</v>
      </c>
      <c r="I322" s="6" t="s">
        <v>481</v>
      </c>
      <c r="J322" s="7">
        <v>44027</v>
      </c>
      <c r="K322" s="7">
        <f t="shared" si="22"/>
        <v>44747</v>
      </c>
      <c r="L322" s="17" t="s">
        <v>99</v>
      </c>
    </row>
    <row r="323" spans="1:13" s="13" customFormat="1" ht="18" customHeight="1" x14ac:dyDescent="0.2">
      <c r="A323" s="3" t="s">
        <v>27</v>
      </c>
      <c r="B323" s="3"/>
      <c r="C323" s="3" t="s">
        <v>20</v>
      </c>
      <c r="D323" s="4" t="s">
        <v>482</v>
      </c>
      <c r="E323" s="4" t="s">
        <v>482</v>
      </c>
      <c r="F323" s="16" t="s">
        <v>13</v>
      </c>
      <c r="G323" s="5" t="s">
        <v>472</v>
      </c>
      <c r="H323" s="5" t="s">
        <v>163</v>
      </c>
      <c r="I323" s="42">
        <v>2300721</v>
      </c>
      <c r="J323" s="7">
        <v>44949</v>
      </c>
      <c r="K323" s="7">
        <f t="shared" si="22"/>
        <v>45669</v>
      </c>
      <c r="L323" s="17" t="s">
        <v>99</v>
      </c>
    </row>
    <row r="324" spans="1:13" s="13" customFormat="1" ht="18" customHeight="1" x14ac:dyDescent="0.2">
      <c r="A324" s="3" t="s">
        <v>27</v>
      </c>
      <c r="B324" s="3"/>
      <c r="C324" s="3" t="s">
        <v>20</v>
      </c>
      <c r="D324" s="4" t="s">
        <v>483</v>
      </c>
      <c r="E324" s="4" t="s">
        <v>483</v>
      </c>
      <c r="F324" s="16" t="s">
        <v>13</v>
      </c>
      <c r="G324" s="5" t="s">
        <v>472</v>
      </c>
      <c r="H324" s="5" t="s">
        <v>16</v>
      </c>
      <c r="I324" s="6" t="s">
        <v>484</v>
      </c>
      <c r="J324" s="7">
        <v>44027</v>
      </c>
      <c r="K324" s="7">
        <f t="shared" si="22"/>
        <v>44747</v>
      </c>
      <c r="L324" s="17" t="s">
        <v>99</v>
      </c>
    </row>
    <row r="325" spans="1:13" s="13" customFormat="1" ht="18" customHeight="1" x14ac:dyDescent="0.2">
      <c r="A325" s="3" t="s">
        <v>27</v>
      </c>
      <c r="B325" s="3"/>
      <c r="C325" s="3" t="s">
        <v>20</v>
      </c>
      <c r="D325" s="4" t="s">
        <v>485</v>
      </c>
      <c r="E325" s="4" t="s">
        <v>485</v>
      </c>
      <c r="F325" s="16" t="s">
        <v>13</v>
      </c>
      <c r="G325" s="5" t="s">
        <v>472</v>
      </c>
      <c r="H325" s="5" t="s">
        <v>16</v>
      </c>
      <c r="I325" s="6" t="s">
        <v>486</v>
      </c>
      <c r="J325" s="7">
        <v>44027</v>
      </c>
      <c r="K325" s="7">
        <f t="shared" si="22"/>
        <v>44747</v>
      </c>
      <c r="L325" s="17" t="s">
        <v>99</v>
      </c>
    </row>
    <row r="326" spans="1:13" s="13" customFormat="1" ht="18" customHeight="1" x14ac:dyDescent="0.2">
      <c r="A326" s="3" t="s">
        <v>27</v>
      </c>
      <c r="B326" s="3"/>
      <c r="C326" s="3" t="s">
        <v>20</v>
      </c>
      <c r="D326" s="4" t="s">
        <v>493</v>
      </c>
      <c r="E326" s="4" t="s">
        <v>493</v>
      </c>
      <c r="F326" s="16" t="s">
        <v>13</v>
      </c>
      <c r="G326" s="5" t="s">
        <v>472</v>
      </c>
      <c r="H326" s="5" t="s">
        <v>171</v>
      </c>
      <c r="I326" s="6">
        <v>2004428</v>
      </c>
      <c r="J326" s="7">
        <v>43675</v>
      </c>
      <c r="K326" s="7">
        <f t="shared" si="22"/>
        <v>44395</v>
      </c>
      <c r="L326" s="17" t="s">
        <v>99</v>
      </c>
    </row>
    <row r="327" spans="1:13" s="15" customFormat="1" ht="18" customHeight="1" x14ac:dyDescent="0.2">
      <c r="A327" s="3" t="s">
        <v>27</v>
      </c>
      <c r="B327" s="3"/>
      <c r="C327" s="3" t="s">
        <v>20</v>
      </c>
      <c r="D327" s="4" t="s">
        <v>494</v>
      </c>
      <c r="E327" s="4" t="s">
        <v>494</v>
      </c>
      <c r="F327" s="16" t="s">
        <v>13</v>
      </c>
      <c r="G327" s="5" t="s">
        <v>472</v>
      </c>
      <c r="H327" s="5" t="s">
        <v>171</v>
      </c>
      <c r="I327" s="6">
        <v>2004429</v>
      </c>
      <c r="J327" s="7">
        <v>43675</v>
      </c>
      <c r="K327" s="7">
        <f t="shared" si="22"/>
        <v>44395</v>
      </c>
      <c r="L327" s="17" t="s">
        <v>99</v>
      </c>
      <c r="M327" s="13"/>
    </row>
    <row r="328" spans="1:13" s="13" customFormat="1" ht="18" customHeight="1" x14ac:dyDescent="0.2">
      <c r="A328" s="3" t="s">
        <v>27</v>
      </c>
      <c r="B328" s="3"/>
      <c r="C328" s="3" t="s">
        <v>20</v>
      </c>
      <c r="D328" s="4" t="s">
        <v>495</v>
      </c>
      <c r="E328" s="4" t="s">
        <v>495</v>
      </c>
      <c r="F328" s="16" t="s">
        <v>13</v>
      </c>
      <c r="G328" s="5" t="s">
        <v>472</v>
      </c>
      <c r="H328" s="5" t="s">
        <v>171</v>
      </c>
      <c r="I328" s="6">
        <v>2004430</v>
      </c>
      <c r="J328" s="7">
        <v>43675</v>
      </c>
      <c r="K328" s="7">
        <f t="shared" si="22"/>
        <v>44395</v>
      </c>
      <c r="L328" s="17" t="s">
        <v>99</v>
      </c>
    </row>
    <row r="329" spans="1:13" s="15" customFormat="1" ht="18" customHeight="1" x14ac:dyDescent="0.2">
      <c r="A329" s="3" t="s">
        <v>27</v>
      </c>
      <c r="B329" s="3"/>
      <c r="C329" s="3" t="s">
        <v>20</v>
      </c>
      <c r="D329" s="4" t="s">
        <v>496</v>
      </c>
      <c r="E329" s="4" t="s">
        <v>496</v>
      </c>
      <c r="F329" s="16" t="s">
        <v>13</v>
      </c>
      <c r="G329" s="5" t="s">
        <v>472</v>
      </c>
      <c r="H329" s="5" t="s">
        <v>171</v>
      </c>
      <c r="I329" s="6">
        <v>2004431</v>
      </c>
      <c r="J329" s="7">
        <v>43675</v>
      </c>
      <c r="K329" s="7">
        <v>44406</v>
      </c>
      <c r="L329" s="17" t="s">
        <v>99</v>
      </c>
      <c r="M329" s="13"/>
    </row>
    <row r="330" spans="1:13" s="13" customFormat="1" ht="18" customHeight="1" x14ac:dyDescent="0.2">
      <c r="A330" s="3" t="s">
        <v>27</v>
      </c>
      <c r="B330" s="3"/>
      <c r="C330" s="3" t="s">
        <v>46</v>
      </c>
      <c r="D330" s="4" t="s">
        <v>604</v>
      </c>
      <c r="E330" s="4" t="s">
        <v>604</v>
      </c>
      <c r="F330" s="16" t="s">
        <v>13</v>
      </c>
      <c r="G330" s="5" t="s">
        <v>608</v>
      </c>
      <c r="H330" s="5" t="s">
        <v>16</v>
      </c>
      <c r="I330" s="6" t="s">
        <v>610</v>
      </c>
      <c r="J330" s="7">
        <v>44274</v>
      </c>
      <c r="K330" s="7">
        <f t="shared" ref="K330:K361" si="23">J330+720</f>
        <v>44994</v>
      </c>
      <c r="L330" s="17" t="s">
        <v>99</v>
      </c>
    </row>
    <row r="331" spans="1:13" s="13" customFormat="1" ht="18" customHeight="1" x14ac:dyDescent="0.2">
      <c r="A331" s="3" t="s">
        <v>27</v>
      </c>
      <c r="B331" s="3"/>
      <c r="C331" s="3" t="s">
        <v>46</v>
      </c>
      <c r="D331" s="4" t="s">
        <v>605</v>
      </c>
      <c r="E331" s="4" t="s">
        <v>605</v>
      </c>
      <c r="F331" s="16" t="s">
        <v>13</v>
      </c>
      <c r="G331" s="5" t="s">
        <v>609</v>
      </c>
      <c r="H331" s="5" t="s">
        <v>16</v>
      </c>
      <c r="I331" s="6" t="s">
        <v>611</v>
      </c>
      <c r="J331" s="7">
        <v>44274</v>
      </c>
      <c r="K331" s="7">
        <f t="shared" si="23"/>
        <v>44994</v>
      </c>
      <c r="L331" s="17" t="s">
        <v>99</v>
      </c>
    </row>
    <row r="332" spans="1:13" s="15" customFormat="1" ht="18" customHeight="1" x14ac:dyDescent="0.2">
      <c r="A332" s="3" t="s">
        <v>27</v>
      </c>
      <c r="B332" s="3"/>
      <c r="C332" s="3" t="s">
        <v>46</v>
      </c>
      <c r="D332" s="4" t="s">
        <v>606</v>
      </c>
      <c r="E332" s="4" t="s">
        <v>606</v>
      </c>
      <c r="F332" s="16" t="s">
        <v>13</v>
      </c>
      <c r="G332" s="5" t="s">
        <v>609</v>
      </c>
      <c r="H332" s="5" t="s">
        <v>16</v>
      </c>
      <c r="I332" s="6" t="s">
        <v>612</v>
      </c>
      <c r="J332" s="7">
        <v>44274</v>
      </c>
      <c r="K332" s="7">
        <f t="shared" si="23"/>
        <v>44994</v>
      </c>
      <c r="L332" s="17" t="s">
        <v>99</v>
      </c>
      <c r="M332" s="13"/>
    </row>
    <row r="333" spans="1:13" s="15" customFormat="1" ht="18" customHeight="1" x14ac:dyDescent="0.2">
      <c r="A333" s="3" t="s">
        <v>27</v>
      </c>
      <c r="B333" s="3"/>
      <c r="C333" s="3" t="s">
        <v>46</v>
      </c>
      <c r="D333" s="4" t="s">
        <v>607</v>
      </c>
      <c r="E333" s="4" t="s">
        <v>607</v>
      </c>
      <c r="F333" s="16" t="s">
        <v>13</v>
      </c>
      <c r="G333" s="5" t="s">
        <v>609</v>
      </c>
      <c r="H333" s="5" t="s">
        <v>16</v>
      </c>
      <c r="I333" s="6" t="s">
        <v>613</v>
      </c>
      <c r="J333" s="7">
        <v>44274</v>
      </c>
      <c r="K333" s="7">
        <f t="shared" si="23"/>
        <v>44994</v>
      </c>
      <c r="L333" s="17" t="s">
        <v>99</v>
      </c>
      <c r="M333" s="13"/>
    </row>
    <row r="334" spans="1:13" s="13" customFormat="1" ht="18" customHeight="1" x14ac:dyDescent="0.2">
      <c r="A334" s="3" t="s">
        <v>27</v>
      </c>
      <c r="B334" s="3"/>
      <c r="C334" s="3" t="s">
        <v>20</v>
      </c>
      <c r="D334" s="4" t="s">
        <v>357</v>
      </c>
      <c r="E334" s="4" t="s">
        <v>357</v>
      </c>
      <c r="F334" s="16" t="s">
        <v>13</v>
      </c>
      <c r="G334" s="5" t="s">
        <v>28</v>
      </c>
      <c r="H334" s="5" t="s">
        <v>16</v>
      </c>
      <c r="I334" s="6">
        <v>2001359</v>
      </c>
      <c r="J334" s="7">
        <v>44573</v>
      </c>
      <c r="K334" s="7">
        <f t="shared" si="23"/>
        <v>45293</v>
      </c>
      <c r="L334" s="17" t="s">
        <v>99</v>
      </c>
    </row>
    <row r="335" spans="1:13" s="13" customFormat="1" ht="18" customHeight="1" x14ac:dyDescent="0.2">
      <c r="A335" s="3" t="s">
        <v>27</v>
      </c>
      <c r="B335" s="3"/>
      <c r="C335" s="3" t="s">
        <v>20</v>
      </c>
      <c r="D335" s="4" t="s">
        <v>151</v>
      </c>
      <c r="E335" s="4" t="s">
        <v>149</v>
      </c>
      <c r="F335" s="16" t="s">
        <v>13</v>
      </c>
      <c r="G335" s="5" t="s">
        <v>143</v>
      </c>
      <c r="H335" s="5" t="s">
        <v>163</v>
      </c>
      <c r="I335" s="6">
        <v>2215135</v>
      </c>
      <c r="J335" s="7">
        <v>44749</v>
      </c>
      <c r="K335" s="7">
        <f t="shared" si="23"/>
        <v>45469</v>
      </c>
      <c r="L335" s="17" t="s">
        <v>99</v>
      </c>
    </row>
    <row r="336" spans="1:13" s="15" customFormat="1" ht="18" customHeight="1" x14ac:dyDescent="0.2">
      <c r="A336" s="3" t="s">
        <v>27</v>
      </c>
      <c r="B336" s="3"/>
      <c r="C336" s="3" t="s">
        <v>20</v>
      </c>
      <c r="D336" s="4" t="s">
        <v>137</v>
      </c>
      <c r="E336" s="4" t="s">
        <v>137</v>
      </c>
      <c r="F336" s="16" t="s">
        <v>13</v>
      </c>
      <c r="G336" s="5" t="s">
        <v>28</v>
      </c>
      <c r="H336" s="5" t="s">
        <v>163</v>
      </c>
      <c r="I336" s="6">
        <v>2215134</v>
      </c>
      <c r="J336" s="7">
        <v>44749</v>
      </c>
      <c r="K336" s="7">
        <f t="shared" si="23"/>
        <v>45469</v>
      </c>
      <c r="L336" s="17" t="s">
        <v>99</v>
      </c>
      <c r="M336" s="13"/>
    </row>
    <row r="337" spans="1:13" s="13" customFormat="1" ht="18" customHeight="1" x14ac:dyDescent="0.2">
      <c r="A337" s="3" t="s">
        <v>27</v>
      </c>
      <c r="B337" s="3"/>
      <c r="C337" s="3" t="s">
        <v>49</v>
      </c>
      <c r="D337" s="4" t="s">
        <v>225</v>
      </c>
      <c r="E337" s="4" t="s">
        <v>225</v>
      </c>
      <c r="F337" s="16" t="s">
        <v>13</v>
      </c>
      <c r="G337" s="5" t="s">
        <v>146</v>
      </c>
      <c r="H337" s="5" t="s">
        <v>226</v>
      </c>
      <c r="I337" s="6" t="s">
        <v>287</v>
      </c>
      <c r="J337" s="7">
        <v>43623</v>
      </c>
      <c r="K337" s="7">
        <f t="shared" si="23"/>
        <v>44343</v>
      </c>
      <c r="L337" s="17" t="s">
        <v>99</v>
      </c>
    </row>
    <row r="338" spans="1:13" s="15" customFormat="1" ht="18" customHeight="1" x14ac:dyDescent="0.2">
      <c r="A338" s="3" t="s">
        <v>27</v>
      </c>
      <c r="B338" s="3"/>
      <c r="C338" s="3" t="s">
        <v>49</v>
      </c>
      <c r="D338" s="4" t="s">
        <v>219</v>
      </c>
      <c r="E338" s="4" t="s">
        <v>219</v>
      </c>
      <c r="F338" s="16" t="s">
        <v>13</v>
      </c>
      <c r="G338" s="5" t="s">
        <v>143</v>
      </c>
      <c r="H338" s="5" t="s">
        <v>16</v>
      </c>
      <c r="I338" s="6" t="s">
        <v>278</v>
      </c>
      <c r="J338" s="7">
        <v>43623</v>
      </c>
      <c r="K338" s="7">
        <f t="shared" si="23"/>
        <v>44343</v>
      </c>
      <c r="L338" s="17" t="s">
        <v>99</v>
      </c>
      <c r="M338" s="13"/>
    </row>
    <row r="339" spans="1:13" s="15" customFormat="1" ht="18" customHeight="1" x14ac:dyDescent="0.2">
      <c r="A339" s="3" t="s">
        <v>27</v>
      </c>
      <c r="B339" s="3"/>
      <c r="C339" s="3" t="s">
        <v>49</v>
      </c>
      <c r="D339" s="4" t="s">
        <v>220</v>
      </c>
      <c r="E339" s="4" t="s">
        <v>220</v>
      </c>
      <c r="F339" s="16" t="s">
        <v>13</v>
      </c>
      <c r="G339" s="5" t="s">
        <v>143</v>
      </c>
      <c r="H339" s="5" t="s">
        <v>16</v>
      </c>
      <c r="I339" s="6" t="s">
        <v>221</v>
      </c>
      <c r="J339" s="7">
        <v>43417</v>
      </c>
      <c r="K339" s="7">
        <f t="shared" si="23"/>
        <v>44137</v>
      </c>
      <c r="L339" s="17" t="s">
        <v>99</v>
      </c>
      <c r="M339" s="13"/>
    </row>
    <row r="340" spans="1:13" s="15" customFormat="1" ht="18" customHeight="1" x14ac:dyDescent="0.2">
      <c r="A340" s="3" t="s">
        <v>27</v>
      </c>
      <c r="B340" s="3"/>
      <c r="C340" s="3" t="s">
        <v>49</v>
      </c>
      <c r="D340" s="4" t="s">
        <v>222</v>
      </c>
      <c r="E340" s="4" t="s">
        <v>222</v>
      </c>
      <c r="F340" s="16" t="s">
        <v>13</v>
      </c>
      <c r="G340" s="5" t="s">
        <v>146</v>
      </c>
      <c r="H340" s="5" t="s">
        <v>16</v>
      </c>
      <c r="I340" s="6" t="s">
        <v>223</v>
      </c>
      <c r="J340" s="7">
        <v>43417</v>
      </c>
      <c r="K340" s="7">
        <f t="shared" si="23"/>
        <v>44137</v>
      </c>
      <c r="L340" s="17" t="s">
        <v>99</v>
      </c>
      <c r="M340" s="13"/>
    </row>
    <row r="341" spans="1:13" s="15" customFormat="1" ht="18" customHeight="1" x14ac:dyDescent="0.2">
      <c r="A341" s="3" t="s">
        <v>27</v>
      </c>
      <c r="B341" s="3"/>
      <c r="C341" s="3" t="s">
        <v>20</v>
      </c>
      <c r="D341" s="4" t="s">
        <v>358</v>
      </c>
      <c r="E341" s="4" t="s">
        <v>358</v>
      </c>
      <c r="F341" s="16" t="s">
        <v>13</v>
      </c>
      <c r="G341" s="5" t="s">
        <v>28</v>
      </c>
      <c r="H341" s="5" t="s">
        <v>171</v>
      </c>
      <c r="I341" s="6">
        <v>2001360</v>
      </c>
      <c r="J341" s="7">
        <v>43901</v>
      </c>
      <c r="K341" s="7">
        <f t="shared" si="23"/>
        <v>44621</v>
      </c>
      <c r="L341" s="17" t="s">
        <v>99</v>
      </c>
      <c r="M341" s="13"/>
    </row>
    <row r="342" spans="1:13" s="15" customFormat="1" ht="18" customHeight="1" x14ac:dyDescent="0.2">
      <c r="A342" s="3" t="s">
        <v>27</v>
      </c>
      <c r="B342" s="3"/>
      <c r="C342" s="3" t="s">
        <v>49</v>
      </c>
      <c r="D342" s="4" t="s">
        <v>142</v>
      </c>
      <c r="E342" s="4" t="s">
        <v>142</v>
      </c>
      <c r="F342" s="16" t="s">
        <v>13</v>
      </c>
      <c r="G342" s="5" t="s">
        <v>143</v>
      </c>
      <c r="H342" s="5" t="s">
        <v>67</v>
      </c>
      <c r="I342" s="6">
        <v>1800637</v>
      </c>
      <c r="J342" s="7">
        <v>43137</v>
      </c>
      <c r="K342" s="7">
        <f t="shared" si="23"/>
        <v>43857</v>
      </c>
      <c r="L342" s="17" t="s">
        <v>99</v>
      </c>
      <c r="M342" s="13"/>
    </row>
    <row r="343" spans="1:13" s="13" customFormat="1" ht="18" customHeight="1" x14ac:dyDescent="0.2">
      <c r="A343" s="3" t="s">
        <v>27</v>
      </c>
      <c r="B343" s="3"/>
      <c r="C343" s="3" t="s">
        <v>20</v>
      </c>
      <c r="D343" s="4" t="s">
        <v>1239</v>
      </c>
      <c r="E343" s="4" t="s">
        <v>1215</v>
      </c>
      <c r="F343" s="16" t="s">
        <v>13</v>
      </c>
      <c r="G343" s="5" t="s">
        <v>472</v>
      </c>
      <c r="H343" s="5" t="s">
        <v>163</v>
      </c>
      <c r="I343" s="42">
        <v>2307198</v>
      </c>
      <c r="J343" s="7">
        <v>45007</v>
      </c>
      <c r="K343" s="7">
        <f t="shared" si="23"/>
        <v>45727</v>
      </c>
      <c r="L343" s="17" t="s">
        <v>99</v>
      </c>
    </row>
    <row r="344" spans="1:13" s="15" customFormat="1" ht="18" customHeight="1" x14ac:dyDescent="0.2">
      <c r="A344" s="3" t="s">
        <v>27</v>
      </c>
      <c r="B344" s="3"/>
      <c r="C344" s="3" t="s">
        <v>20</v>
      </c>
      <c r="D344" s="4" t="s">
        <v>1240</v>
      </c>
      <c r="E344" s="4" t="s">
        <v>1216</v>
      </c>
      <c r="F344" s="16" t="s">
        <v>13</v>
      </c>
      <c r="G344" s="5" t="s">
        <v>472</v>
      </c>
      <c r="H344" s="5" t="s">
        <v>163</v>
      </c>
      <c r="I344" s="42">
        <v>2307199</v>
      </c>
      <c r="J344" s="7">
        <v>45007</v>
      </c>
      <c r="K344" s="7">
        <f t="shared" si="23"/>
        <v>45727</v>
      </c>
      <c r="L344" s="17" t="s">
        <v>99</v>
      </c>
      <c r="M344" s="13"/>
    </row>
    <row r="345" spans="1:13" s="15" customFormat="1" ht="18" customHeight="1" x14ac:dyDescent="0.2">
      <c r="A345" s="3" t="s">
        <v>27</v>
      </c>
      <c r="B345" s="3"/>
      <c r="C345" s="3" t="s">
        <v>20</v>
      </c>
      <c r="D345" s="4" t="s">
        <v>1241</v>
      </c>
      <c r="E345" s="4" t="s">
        <v>1217</v>
      </c>
      <c r="F345" s="16" t="s">
        <v>13</v>
      </c>
      <c r="G345" s="5" t="s">
        <v>472</v>
      </c>
      <c r="H345" s="5" t="s">
        <v>163</v>
      </c>
      <c r="I345" s="42">
        <v>2307200</v>
      </c>
      <c r="J345" s="7">
        <v>45007</v>
      </c>
      <c r="K345" s="7">
        <f t="shared" si="23"/>
        <v>45727</v>
      </c>
      <c r="L345" s="17" t="s">
        <v>1257</v>
      </c>
      <c r="M345" s="13"/>
    </row>
    <row r="346" spans="1:13" s="13" customFormat="1" ht="18" customHeight="1" x14ac:dyDescent="0.2">
      <c r="A346" s="3" t="s">
        <v>27</v>
      </c>
      <c r="B346" s="3"/>
      <c r="C346" s="3" t="s">
        <v>20</v>
      </c>
      <c r="D346" s="74" t="s">
        <v>1242</v>
      </c>
      <c r="E346" s="4" t="s">
        <v>1218</v>
      </c>
      <c r="F346" s="16" t="s">
        <v>13</v>
      </c>
      <c r="G346" s="5" t="s">
        <v>472</v>
      </c>
      <c r="H346" s="5" t="s">
        <v>163</v>
      </c>
      <c r="I346" s="42">
        <v>2307201</v>
      </c>
      <c r="J346" s="7">
        <v>45007</v>
      </c>
      <c r="K346" s="7">
        <f t="shared" si="23"/>
        <v>45727</v>
      </c>
      <c r="L346" s="17" t="s">
        <v>1257</v>
      </c>
    </row>
    <row r="347" spans="1:13" s="13" customFormat="1" ht="18" customHeight="1" x14ac:dyDescent="0.2">
      <c r="A347" s="3" t="s">
        <v>27</v>
      </c>
      <c r="B347" s="3"/>
      <c r="C347" s="3" t="s">
        <v>20</v>
      </c>
      <c r="D347" s="74" t="s">
        <v>1243</v>
      </c>
      <c r="E347" s="4" t="s">
        <v>1243</v>
      </c>
      <c r="F347" s="16" t="s">
        <v>13</v>
      </c>
      <c r="G347" s="5" t="s">
        <v>28</v>
      </c>
      <c r="H347" s="5" t="s">
        <v>163</v>
      </c>
      <c r="I347" s="42">
        <v>2311808</v>
      </c>
      <c r="J347" s="7">
        <v>45057</v>
      </c>
      <c r="K347" s="7">
        <f t="shared" si="23"/>
        <v>45777</v>
      </c>
      <c r="L347" s="17" t="s">
        <v>1257</v>
      </c>
    </row>
    <row r="348" spans="1:13" s="15" customFormat="1" ht="18" customHeight="1" x14ac:dyDescent="0.2">
      <c r="A348" s="3" t="s">
        <v>27</v>
      </c>
      <c r="B348" s="3"/>
      <c r="C348" s="3" t="s">
        <v>20</v>
      </c>
      <c r="D348" s="4" t="s">
        <v>1244</v>
      </c>
      <c r="E348" s="4" t="s">
        <v>1244</v>
      </c>
      <c r="F348" s="16" t="s">
        <v>13</v>
      </c>
      <c r="G348" s="5" t="s">
        <v>28</v>
      </c>
      <c r="H348" s="5" t="s">
        <v>163</v>
      </c>
      <c r="I348" s="42">
        <v>2311807</v>
      </c>
      <c r="J348" s="7">
        <v>45057</v>
      </c>
      <c r="K348" s="7">
        <f t="shared" si="23"/>
        <v>45777</v>
      </c>
      <c r="L348" s="17" t="s">
        <v>99</v>
      </c>
      <c r="M348" s="13"/>
    </row>
    <row r="349" spans="1:13" s="15" customFormat="1" ht="18" customHeight="1" x14ac:dyDescent="0.2">
      <c r="A349" s="3" t="s">
        <v>27</v>
      </c>
      <c r="B349" s="3"/>
      <c r="C349" s="3" t="s">
        <v>20</v>
      </c>
      <c r="D349" s="4" t="s">
        <v>1245</v>
      </c>
      <c r="E349" s="4" t="s">
        <v>1245</v>
      </c>
      <c r="F349" s="16" t="s">
        <v>13</v>
      </c>
      <c r="G349" s="5" t="s">
        <v>28</v>
      </c>
      <c r="H349" s="5" t="s">
        <v>163</v>
      </c>
      <c r="I349" s="42">
        <v>2311809</v>
      </c>
      <c r="J349" s="7">
        <v>45057</v>
      </c>
      <c r="K349" s="7">
        <f t="shared" si="23"/>
        <v>45777</v>
      </c>
      <c r="L349" s="17" t="s">
        <v>99</v>
      </c>
      <c r="M349" s="13"/>
    </row>
    <row r="350" spans="1:13" s="15" customFormat="1" ht="18" customHeight="1" x14ac:dyDescent="0.2">
      <c r="A350" s="3" t="s">
        <v>27</v>
      </c>
      <c r="B350" s="3"/>
      <c r="C350" s="3" t="s">
        <v>20</v>
      </c>
      <c r="D350" s="4" t="s">
        <v>1246</v>
      </c>
      <c r="E350" s="4" t="s">
        <v>1246</v>
      </c>
      <c r="F350" s="16" t="s">
        <v>13</v>
      </c>
      <c r="G350" s="5" t="s">
        <v>28</v>
      </c>
      <c r="H350" s="5" t="s">
        <v>163</v>
      </c>
      <c r="I350" s="42">
        <v>2311810</v>
      </c>
      <c r="J350" s="7">
        <v>45057</v>
      </c>
      <c r="K350" s="7">
        <f t="shared" si="23"/>
        <v>45777</v>
      </c>
      <c r="L350" s="17" t="s">
        <v>99</v>
      </c>
      <c r="M350" s="13"/>
    </row>
    <row r="351" spans="1:13" s="13" customFormat="1" ht="18" customHeight="1" x14ac:dyDescent="0.2">
      <c r="A351" s="3" t="s">
        <v>27</v>
      </c>
      <c r="B351" s="3"/>
      <c r="C351" s="3" t="s">
        <v>20</v>
      </c>
      <c r="D351" s="4" t="s">
        <v>1247</v>
      </c>
      <c r="E351" s="4" t="s">
        <v>1247</v>
      </c>
      <c r="F351" s="16" t="s">
        <v>13</v>
      </c>
      <c r="G351" s="5" t="s">
        <v>28</v>
      </c>
      <c r="H351" s="5" t="s">
        <v>163</v>
      </c>
      <c r="I351" s="42">
        <v>2311811</v>
      </c>
      <c r="J351" s="7">
        <v>45057</v>
      </c>
      <c r="K351" s="7">
        <f t="shared" si="23"/>
        <v>45777</v>
      </c>
      <c r="L351" s="17" t="s">
        <v>99</v>
      </c>
    </row>
    <row r="352" spans="1:13" s="15" customFormat="1" ht="18" customHeight="1" x14ac:dyDescent="0.2">
      <c r="A352" s="3" t="s">
        <v>27</v>
      </c>
      <c r="B352" s="3"/>
      <c r="C352" s="3" t="s">
        <v>20</v>
      </c>
      <c r="D352" s="74" t="s">
        <v>1248</v>
      </c>
      <c r="E352" s="4" t="s">
        <v>1248</v>
      </c>
      <c r="F352" s="16" t="s">
        <v>13</v>
      </c>
      <c r="G352" s="5" t="s">
        <v>28</v>
      </c>
      <c r="H352" s="5" t="s">
        <v>163</v>
      </c>
      <c r="I352" s="42">
        <v>2311812</v>
      </c>
      <c r="J352" s="7">
        <v>45057</v>
      </c>
      <c r="K352" s="7">
        <f t="shared" si="23"/>
        <v>45777</v>
      </c>
      <c r="L352" s="17" t="s">
        <v>1257</v>
      </c>
      <c r="M352" s="13"/>
    </row>
    <row r="353" spans="1:13" s="15" customFormat="1" ht="18" customHeight="1" x14ac:dyDescent="0.2">
      <c r="A353" s="3" t="s">
        <v>27</v>
      </c>
      <c r="B353" s="3"/>
      <c r="C353" s="3" t="s">
        <v>20</v>
      </c>
      <c r="D353" s="4" t="s">
        <v>1285</v>
      </c>
      <c r="E353" s="4" t="s">
        <v>1285</v>
      </c>
      <c r="F353" s="16" t="s">
        <v>13</v>
      </c>
      <c r="G353" s="5" t="s">
        <v>1311</v>
      </c>
      <c r="H353" s="5" t="s">
        <v>163</v>
      </c>
      <c r="I353" s="42">
        <v>2421251</v>
      </c>
      <c r="J353" s="7">
        <v>45492</v>
      </c>
      <c r="K353" s="7">
        <f t="shared" si="23"/>
        <v>46212</v>
      </c>
      <c r="L353" s="17" t="s">
        <v>99</v>
      </c>
      <c r="M353" s="13"/>
    </row>
    <row r="354" spans="1:13" s="13" customFormat="1" ht="18" customHeight="1" x14ac:dyDescent="0.2">
      <c r="A354" s="3" t="s">
        <v>27</v>
      </c>
      <c r="B354" s="3"/>
      <c r="C354" s="3" t="s">
        <v>20</v>
      </c>
      <c r="D354" s="4" t="s">
        <v>1312</v>
      </c>
      <c r="E354" s="4" t="s">
        <v>1312</v>
      </c>
      <c r="F354" s="16" t="s">
        <v>13</v>
      </c>
      <c r="G354" s="5" t="s">
        <v>1311</v>
      </c>
      <c r="H354" s="5" t="s">
        <v>163</v>
      </c>
      <c r="I354" s="42">
        <v>2421252</v>
      </c>
      <c r="J354" s="7">
        <v>45492</v>
      </c>
      <c r="K354" s="7">
        <f t="shared" si="23"/>
        <v>46212</v>
      </c>
      <c r="L354" s="17" t="s">
        <v>99</v>
      </c>
    </row>
    <row r="355" spans="1:13" s="13" customFormat="1" ht="18" customHeight="1" x14ac:dyDescent="0.2">
      <c r="A355" s="3" t="s">
        <v>27</v>
      </c>
      <c r="B355" s="3"/>
      <c r="C355" s="3" t="s">
        <v>20</v>
      </c>
      <c r="D355" s="4" t="s">
        <v>1313</v>
      </c>
      <c r="E355" s="4" t="s">
        <v>1313</v>
      </c>
      <c r="F355" s="16" t="s">
        <v>13</v>
      </c>
      <c r="G355" s="5" t="s">
        <v>1311</v>
      </c>
      <c r="H355" s="5" t="s">
        <v>163</v>
      </c>
      <c r="I355" s="42">
        <v>2421253</v>
      </c>
      <c r="J355" s="7">
        <v>45492</v>
      </c>
      <c r="K355" s="7">
        <f t="shared" si="23"/>
        <v>46212</v>
      </c>
      <c r="L355" s="17" t="s">
        <v>99</v>
      </c>
    </row>
    <row r="356" spans="1:13" s="13" customFormat="1" ht="18" customHeight="1" x14ac:dyDescent="0.2">
      <c r="A356" s="3" t="s">
        <v>27</v>
      </c>
      <c r="B356" s="3"/>
      <c r="C356" s="3" t="s">
        <v>20</v>
      </c>
      <c r="D356" s="4" t="s">
        <v>1314</v>
      </c>
      <c r="E356" s="4" t="s">
        <v>1314</v>
      </c>
      <c r="F356" s="16" t="s">
        <v>13</v>
      </c>
      <c r="G356" s="5" t="s">
        <v>1311</v>
      </c>
      <c r="H356" s="5" t="s">
        <v>163</v>
      </c>
      <c r="I356" s="42">
        <v>2421254</v>
      </c>
      <c r="J356" s="7">
        <v>45492</v>
      </c>
      <c r="K356" s="7">
        <f t="shared" si="23"/>
        <v>46212</v>
      </c>
      <c r="L356" s="17" t="s">
        <v>99</v>
      </c>
    </row>
    <row r="357" spans="1:13" s="13" customFormat="1" ht="18" customHeight="1" x14ac:dyDescent="0.2">
      <c r="A357" s="3" t="s">
        <v>27</v>
      </c>
      <c r="B357" s="3"/>
      <c r="C357" s="3" t="s">
        <v>20</v>
      </c>
      <c r="D357" s="4" t="s">
        <v>1315</v>
      </c>
      <c r="E357" s="4" t="s">
        <v>1315</v>
      </c>
      <c r="F357" s="16" t="s">
        <v>13</v>
      </c>
      <c r="G357" s="5" t="s">
        <v>472</v>
      </c>
      <c r="H357" s="5" t="s">
        <v>163</v>
      </c>
      <c r="I357" s="42">
        <v>2421255</v>
      </c>
      <c r="J357" s="7">
        <v>45492</v>
      </c>
      <c r="K357" s="7">
        <f t="shared" si="23"/>
        <v>46212</v>
      </c>
      <c r="L357" s="17" t="s">
        <v>99</v>
      </c>
    </row>
    <row r="358" spans="1:13" s="13" customFormat="1" ht="18" customHeight="1" x14ac:dyDescent="0.2">
      <c r="A358" s="3" t="s">
        <v>27</v>
      </c>
      <c r="B358" s="3"/>
      <c r="C358" s="3" t="s">
        <v>20</v>
      </c>
      <c r="D358" s="4" t="s">
        <v>1316</v>
      </c>
      <c r="E358" s="4" t="s">
        <v>1316</v>
      </c>
      <c r="F358" s="16" t="s">
        <v>13</v>
      </c>
      <c r="G358" s="5" t="s">
        <v>472</v>
      </c>
      <c r="H358" s="5" t="s">
        <v>163</v>
      </c>
      <c r="I358" s="42">
        <v>2421256</v>
      </c>
      <c r="J358" s="7">
        <v>45492</v>
      </c>
      <c r="K358" s="7">
        <f t="shared" si="23"/>
        <v>46212</v>
      </c>
      <c r="L358" s="17" t="s">
        <v>99</v>
      </c>
    </row>
    <row r="359" spans="1:13" s="13" customFormat="1" ht="18" customHeight="1" x14ac:dyDescent="0.2">
      <c r="A359" s="3" t="s">
        <v>27</v>
      </c>
      <c r="B359" s="3"/>
      <c r="C359" s="3" t="s">
        <v>20</v>
      </c>
      <c r="D359" s="4" t="s">
        <v>1317</v>
      </c>
      <c r="E359" s="4" t="s">
        <v>1317</v>
      </c>
      <c r="F359" s="16" t="s">
        <v>13</v>
      </c>
      <c r="G359" s="5" t="s">
        <v>472</v>
      </c>
      <c r="H359" s="5" t="s">
        <v>163</v>
      </c>
      <c r="I359" s="42">
        <v>2421257</v>
      </c>
      <c r="J359" s="7">
        <v>45492</v>
      </c>
      <c r="K359" s="7">
        <f t="shared" si="23"/>
        <v>46212</v>
      </c>
      <c r="L359" s="17" t="s">
        <v>99</v>
      </c>
    </row>
    <row r="360" spans="1:13" s="13" customFormat="1" ht="18" customHeight="1" x14ac:dyDescent="0.2">
      <c r="A360" s="3" t="s">
        <v>27</v>
      </c>
      <c r="B360" s="3"/>
      <c r="C360" s="3" t="s">
        <v>20</v>
      </c>
      <c r="D360" s="4" t="s">
        <v>1318</v>
      </c>
      <c r="E360" s="4" t="s">
        <v>1318</v>
      </c>
      <c r="F360" s="16" t="s">
        <v>13</v>
      </c>
      <c r="G360" s="5" t="s">
        <v>472</v>
      </c>
      <c r="H360" s="5" t="s">
        <v>163</v>
      </c>
      <c r="I360" s="42">
        <v>2421258</v>
      </c>
      <c r="J360" s="7">
        <v>45492</v>
      </c>
      <c r="K360" s="7">
        <f t="shared" si="23"/>
        <v>46212</v>
      </c>
      <c r="L360" s="17" t="s">
        <v>99</v>
      </c>
    </row>
    <row r="361" spans="1:13" s="13" customFormat="1" ht="18" customHeight="1" x14ac:dyDescent="0.2">
      <c r="A361" s="3" t="s">
        <v>27</v>
      </c>
      <c r="B361" s="3"/>
      <c r="C361" s="3" t="s">
        <v>20</v>
      </c>
      <c r="D361" s="4" t="s">
        <v>1319</v>
      </c>
      <c r="E361" s="4" t="s">
        <v>1319</v>
      </c>
      <c r="F361" s="16" t="s">
        <v>13</v>
      </c>
      <c r="G361" s="5" t="s">
        <v>472</v>
      </c>
      <c r="H361" s="5" t="s">
        <v>163</v>
      </c>
      <c r="I361" s="42">
        <v>2421259</v>
      </c>
      <c r="J361" s="7">
        <v>45492</v>
      </c>
      <c r="K361" s="7">
        <f t="shared" si="23"/>
        <v>46212</v>
      </c>
      <c r="L361" s="17" t="s">
        <v>99</v>
      </c>
    </row>
    <row r="362" spans="1:13" s="13" customFormat="1" ht="18" customHeight="1" x14ac:dyDescent="0.2">
      <c r="A362" s="3" t="s">
        <v>27</v>
      </c>
      <c r="B362" s="3"/>
      <c r="C362" s="3" t="s">
        <v>20</v>
      </c>
      <c r="D362" s="4" t="s">
        <v>1320</v>
      </c>
      <c r="E362" s="4" t="s">
        <v>1320</v>
      </c>
      <c r="F362" s="16" t="s">
        <v>13</v>
      </c>
      <c r="G362" s="5" t="s">
        <v>472</v>
      </c>
      <c r="H362" s="5" t="s">
        <v>163</v>
      </c>
      <c r="I362" s="42">
        <v>2121260</v>
      </c>
      <c r="J362" s="7">
        <v>45492</v>
      </c>
      <c r="K362" s="7">
        <f t="shared" ref="K362:K393" si="24">J362+720</f>
        <v>46212</v>
      </c>
      <c r="L362" s="17" t="s">
        <v>99</v>
      </c>
    </row>
    <row r="363" spans="1:13" s="13" customFormat="1" ht="18" customHeight="1" x14ac:dyDescent="0.2">
      <c r="A363" s="3" t="s">
        <v>27</v>
      </c>
      <c r="B363" s="3"/>
      <c r="C363" s="3" t="s">
        <v>20</v>
      </c>
      <c r="D363" s="4" t="s">
        <v>1321</v>
      </c>
      <c r="E363" s="4" t="s">
        <v>1321</v>
      </c>
      <c r="F363" s="16" t="s">
        <v>13</v>
      </c>
      <c r="G363" s="5" t="s">
        <v>472</v>
      </c>
      <c r="H363" s="5" t="s">
        <v>163</v>
      </c>
      <c r="I363" s="42">
        <v>2421261</v>
      </c>
      <c r="J363" s="7">
        <v>45492</v>
      </c>
      <c r="K363" s="7">
        <f t="shared" si="24"/>
        <v>46212</v>
      </c>
      <c r="L363" s="17" t="s">
        <v>99</v>
      </c>
    </row>
    <row r="364" spans="1:13" s="13" customFormat="1" ht="18" customHeight="1" x14ac:dyDescent="0.2">
      <c r="A364" s="3" t="s">
        <v>27</v>
      </c>
      <c r="B364" s="3"/>
      <c r="C364" s="3" t="s">
        <v>20</v>
      </c>
      <c r="D364" s="4" t="s">
        <v>1322</v>
      </c>
      <c r="E364" s="4" t="s">
        <v>1322</v>
      </c>
      <c r="F364" s="16" t="s">
        <v>13</v>
      </c>
      <c r="G364" s="5" t="s">
        <v>472</v>
      </c>
      <c r="H364" s="5" t="s">
        <v>163</v>
      </c>
      <c r="I364" s="42">
        <v>2421262</v>
      </c>
      <c r="J364" s="7">
        <v>45492</v>
      </c>
      <c r="K364" s="7">
        <f t="shared" si="24"/>
        <v>46212</v>
      </c>
      <c r="L364" s="17" t="s">
        <v>99</v>
      </c>
    </row>
    <row r="365" spans="1:13" s="15" customFormat="1" ht="18" customHeight="1" x14ac:dyDescent="0.2">
      <c r="A365" s="3" t="s">
        <v>27</v>
      </c>
      <c r="B365" s="3"/>
      <c r="C365" s="3" t="s">
        <v>20</v>
      </c>
      <c r="D365" s="4" t="s">
        <v>1323</v>
      </c>
      <c r="E365" s="4" t="s">
        <v>1323</v>
      </c>
      <c r="F365" s="16" t="s">
        <v>13</v>
      </c>
      <c r="G365" s="5" t="s">
        <v>472</v>
      </c>
      <c r="H365" s="5" t="s">
        <v>163</v>
      </c>
      <c r="I365" s="42">
        <v>2421263</v>
      </c>
      <c r="J365" s="7">
        <v>45492</v>
      </c>
      <c r="K365" s="7">
        <f t="shared" si="24"/>
        <v>46212</v>
      </c>
      <c r="L365" s="17" t="s">
        <v>99</v>
      </c>
      <c r="M365" s="13"/>
    </row>
    <row r="366" spans="1:13" s="14" customFormat="1" ht="18" customHeight="1" x14ac:dyDescent="0.2">
      <c r="A366" s="3" t="s">
        <v>27</v>
      </c>
      <c r="B366" s="3"/>
      <c r="C366" s="3" t="s">
        <v>20</v>
      </c>
      <c r="D366" s="4" t="s">
        <v>1324</v>
      </c>
      <c r="E366" s="4" t="s">
        <v>1324</v>
      </c>
      <c r="F366" s="16" t="s">
        <v>13</v>
      </c>
      <c r="G366" s="5" t="s">
        <v>472</v>
      </c>
      <c r="H366" s="5" t="s">
        <v>163</v>
      </c>
      <c r="I366" s="42">
        <v>2421264</v>
      </c>
      <c r="J366" s="7">
        <v>45492</v>
      </c>
      <c r="K366" s="7">
        <f t="shared" si="24"/>
        <v>46212</v>
      </c>
      <c r="L366" s="17" t="s">
        <v>99</v>
      </c>
      <c r="M366" s="13"/>
    </row>
    <row r="367" spans="1:13" s="14" customFormat="1" ht="18" customHeight="1" x14ac:dyDescent="0.2">
      <c r="A367" s="3" t="s">
        <v>27</v>
      </c>
      <c r="B367" s="3"/>
      <c r="C367" s="3" t="s">
        <v>20</v>
      </c>
      <c r="D367" s="4" t="s">
        <v>742</v>
      </c>
      <c r="E367" s="4" t="s">
        <v>575</v>
      </c>
      <c r="F367" s="16" t="s">
        <v>13</v>
      </c>
      <c r="G367" s="5" t="s">
        <v>472</v>
      </c>
      <c r="H367" s="5" t="s">
        <v>163</v>
      </c>
      <c r="I367" s="42">
        <v>2218826</v>
      </c>
      <c r="J367" s="7">
        <v>44805</v>
      </c>
      <c r="K367" s="7">
        <f t="shared" si="24"/>
        <v>45525</v>
      </c>
      <c r="L367" s="17" t="s">
        <v>99</v>
      </c>
      <c r="M367" s="13"/>
    </row>
    <row r="368" spans="1:13" s="14" customFormat="1" ht="18" customHeight="1" x14ac:dyDescent="0.2">
      <c r="A368" s="3" t="s">
        <v>27</v>
      </c>
      <c r="B368" s="3"/>
      <c r="C368" s="3" t="s">
        <v>20</v>
      </c>
      <c r="D368" s="4" t="s">
        <v>743</v>
      </c>
      <c r="E368" s="4" t="s">
        <v>741</v>
      </c>
      <c r="F368" s="16" t="s">
        <v>13</v>
      </c>
      <c r="G368" s="5" t="s">
        <v>472</v>
      </c>
      <c r="H368" s="5" t="s">
        <v>163</v>
      </c>
      <c r="I368" s="42">
        <v>2218827</v>
      </c>
      <c r="J368" s="7">
        <v>44805</v>
      </c>
      <c r="K368" s="7">
        <f t="shared" si="24"/>
        <v>45525</v>
      </c>
      <c r="L368" s="17" t="s">
        <v>99</v>
      </c>
      <c r="M368" s="13"/>
    </row>
    <row r="369" spans="1:13" s="14" customFormat="1" ht="18" customHeight="1" x14ac:dyDescent="0.2">
      <c r="A369" s="3" t="s">
        <v>27</v>
      </c>
      <c r="B369" s="3"/>
      <c r="C369" s="3" t="s">
        <v>20</v>
      </c>
      <c r="D369" s="4" t="s">
        <v>745</v>
      </c>
      <c r="E369" s="4" t="s">
        <v>753</v>
      </c>
      <c r="F369" s="16" t="s">
        <v>13</v>
      </c>
      <c r="G369" s="5" t="s">
        <v>472</v>
      </c>
      <c r="H369" s="5" t="s">
        <v>163</v>
      </c>
      <c r="I369" s="6">
        <v>2215137</v>
      </c>
      <c r="J369" s="7">
        <v>44749</v>
      </c>
      <c r="K369" s="7">
        <f t="shared" si="24"/>
        <v>45469</v>
      </c>
      <c r="L369" s="17" t="s">
        <v>99</v>
      </c>
      <c r="M369" s="13"/>
    </row>
    <row r="370" spans="1:13" s="14" customFormat="1" ht="18" customHeight="1" x14ac:dyDescent="0.2">
      <c r="A370" s="3" t="s">
        <v>27</v>
      </c>
      <c r="B370" s="3"/>
      <c r="C370" s="3" t="s">
        <v>20</v>
      </c>
      <c r="D370" s="74" t="s">
        <v>746</v>
      </c>
      <c r="E370" s="4" t="s">
        <v>754</v>
      </c>
      <c r="F370" s="16" t="s">
        <v>13</v>
      </c>
      <c r="G370" s="5" t="s">
        <v>472</v>
      </c>
      <c r="H370" s="5" t="s">
        <v>163</v>
      </c>
      <c r="I370" s="42">
        <v>2415676</v>
      </c>
      <c r="J370" s="7">
        <v>45457</v>
      </c>
      <c r="K370" s="7">
        <f t="shared" si="24"/>
        <v>46177</v>
      </c>
      <c r="L370" s="17" t="s">
        <v>1257</v>
      </c>
      <c r="M370" s="13"/>
    </row>
    <row r="371" spans="1:13" s="14" customFormat="1" ht="18" customHeight="1" x14ac:dyDescent="0.2">
      <c r="A371" s="3" t="s">
        <v>27</v>
      </c>
      <c r="B371" s="3"/>
      <c r="C371" s="3" t="s">
        <v>20</v>
      </c>
      <c r="D371" s="4" t="s">
        <v>747</v>
      </c>
      <c r="E371" s="4" t="s">
        <v>755</v>
      </c>
      <c r="F371" s="16" t="s">
        <v>13</v>
      </c>
      <c r="G371" s="5" t="s">
        <v>472</v>
      </c>
      <c r="H371" s="5" t="s">
        <v>163</v>
      </c>
      <c r="I371" s="6">
        <v>2215139</v>
      </c>
      <c r="J371" s="7">
        <v>44749</v>
      </c>
      <c r="K371" s="7">
        <f t="shared" si="24"/>
        <v>45469</v>
      </c>
      <c r="L371" s="17" t="s">
        <v>99</v>
      </c>
      <c r="M371" s="13"/>
    </row>
    <row r="372" spans="1:13" s="14" customFormat="1" ht="18" customHeight="1" x14ac:dyDescent="0.2">
      <c r="A372" s="3" t="s">
        <v>27</v>
      </c>
      <c r="B372" s="3"/>
      <c r="C372" s="3" t="s">
        <v>20</v>
      </c>
      <c r="D372" s="4" t="s">
        <v>748</v>
      </c>
      <c r="E372" s="4" t="s">
        <v>756</v>
      </c>
      <c r="F372" s="16" t="s">
        <v>13</v>
      </c>
      <c r="G372" s="5" t="s">
        <v>472</v>
      </c>
      <c r="H372" s="5" t="s">
        <v>16</v>
      </c>
      <c r="I372" s="6" t="s">
        <v>761</v>
      </c>
      <c r="J372" s="7">
        <v>44417</v>
      </c>
      <c r="K372" s="7">
        <f t="shared" si="24"/>
        <v>45137</v>
      </c>
      <c r="L372" s="17" t="s">
        <v>99</v>
      </c>
      <c r="M372" s="13"/>
    </row>
    <row r="373" spans="1:13" s="14" customFormat="1" ht="18" customHeight="1" x14ac:dyDescent="0.2">
      <c r="A373" s="3" t="s">
        <v>27</v>
      </c>
      <c r="B373" s="3"/>
      <c r="C373" s="3" t="s">
        <v>20</v>
      </c>
      <c r="D373" s="4" t="s">
        <v>749</v>
      </c>
      <c r="E373" s="4" t="s">
        <v>757</v>
      </c>
      <c r="F373" s="16" t="s">
        <v>13</v>
      </c>
      <c r="G373" s="5" t="s">
        <v>472</v>
      </c>
      <c r="H373" s="5" t="s">
        <v>16</v>
      </c>
      <c r="I373" s="6" t="s">
        <v>762</v>
      </c>
      <c r="J373" s="7">
        <v>44417</v>
      </c>
      <c r="K373" s="7">
        <f t="shared" si="24"/>
        <v>45137</v>
      </c>
      <c r="L373" s="17" t="s">
        <v>99</v>
      </c>
      <c r="M373" s="13"/>
    </row>
    <row r="374" spans="1:13" s="14" customFormat="1" ht="18" customHeight="1" x14ac:dyDescent="0.2">
      <c r="A374" s="3" t="s">
        <v>27</v>
      </c>
      <c r="B374" s="3"/>
      <c r="C374" s="3" t="s">
        <v>20</v>
      </c>
      <c r="D374" s="4" t="s">
        <v>750</v>
      </c>
      <c r="E374" s="4" t="s">
        <v>758</v>
      </c>
      <c r="F374" s="16" t="s">
        <v>13</v>
      </c>
      <c r="G374" s="5" t="s">
        <v>472</v>
      </c>
      <c r="H374" s="5" t="s">
        <v>16</v>
      </c>
      <c r="I374" s="6" t="s">
        <v>763</v>
      </c>
      <c r="J374" s="7">
        <v>44417</v>
      </c>
      <c r="K374" s="7">
        <f t="shared" si="24"/>
        <v>45137</v>
      </c>
      <c r="L374" s="17" t="s">
        <v>99</v>
      </c>
      <c r="M374" s="13"/>
    </row>
    <row r="375" spans="1:13" s="14" customFormat="1" ht="18" customHeight="1" x14ac:dyDescent="0.2">
      <c r="A375" s="3" t="s">
        <v>27</v>
      </c>
      <c r="B375" s="3"/>
      <c r="C375" s="3" t="s">
        <v>20</v>
      </c>
      <c r="D375" s="74" t="s">
        <v>751</v>
      </c>
      <c r="E375" s="4" t="s">
        <v>759</v>
      </c>
      <c r="F375" s="16" t="s">
        <v>13</v>
      </c>
      <c r="G375" s="5" t="s">
        <v>472</v>
      </c>
      <c r="H375" s="5" t="s">
        <v>163</v>
      </c>
      <c r="I375" s="42">
        <v>2415677</v>
      </c>
      <c r="J375" s="7">
        <v>45457</v>
      </c>
      <c r="K375" s="7">
        <f t="shared" si="24"/>
        <v>46177</v>
      </c>
      <c r="L375" s="17" t="s">
        <v>1257</v>
      </c>
      <c r="M375" s="13"/>
    </row>
    <row r="376" spans="1:13" s="14" customFormat="1" ht="18" customHeight="1" x14ac:dyDescent="0.2">
      <c r="A376" s="3" t="s">
        <v>27</v>
      </c>
      <c r="B376" s="3"/>
      <c r="C376" s="3" t="s">
        <v>20</v>
      </c>
      <c r="D376" s="4" t="s">
        <v>752</v>
      </c>
      <c r="E376" s="4" t="s">
        <v>760</v>
      </c>
      <c r="F376" s="16" t="s">
        <v>13</v>
      </c>
      <c r="G376" s="5" t="s">
        <v>472</v>
      </c>
      <c r="H376" s="5" t="s">
        <v>163</v>
      </c>
      <c r="I376" s="42">
        <v>2218828</v>
      </c>
      <c r="J376" s="7">
        <v>44805</v>
      </c>
      <c r="K376" s="7">
        <f t="shared" si="24"/>
        <v>45525</v>
      </c>
      <c r="L376" s="17" t="s">
        <v>99</v>
      </c>
      <c r="M376" s="13"/>
    </row>
    <row r="377" spans="1:13" s="14" customFormat="1" ht="18" customHeight="1" x14ac:dyDescent="0.2">
      <c r="A377" s="3" t="s">
        <v>27</v>
      </c>
      <c r="B377" s="3"/>
      <c r="C377" s="3" t="s">
        <v>20</v>
      </c>
      <c r="D377" s="4" t="s">
        <v>273</v>
      </c>
      <c r="E377" s="4" t="s">
        <v>273</v>
      </c>
      <c r="F377" s="16" t="s">
        <v>13</v>
      </c>
      <c r="G377" s="5" t="s">
        <v>28</v>
      </c>
      <c r="H377" s="5" t="s">
        <v>16</v>
      </c>
      <c r="I377" s="6" t="s">
        <v>274</v>
      </c>
      <c r="J377" s="7">
        <v>43623</v>
      </c>
      <c r="K377" s="7">
        <f t="shared" si="24"/>
        <v>44343</v>
      </c>
      <c r="L377" s="17" t="s">
        <v>99</v>
      </c>
      <c r="M377" s="13"/>
    </row>
    <row r="378" spans="1:13" s="14" customFormat="1" ht="18" customHeight="1" x14ac:dyDescent="0.2">
      <c r="A378" s="3" t="s">
        <v>27</v>
      </c>
      <c r="B378" s="3"/>
      <c r="C378" s="3" t="s">
        <v>49</v>
      </c>
      <c r="D378" s="4" t="s">
        <v>83</v>
      </c>
      <c r="E378" s="4" t="s">
        <v>83</v>
      </c>
      <c r="F378" s="16" t="s">
        <v>13</v>
      </c>
      <c r="G378" s="5" t="s">
        <v>143</v>
      </c>
      <c r="H378" s="5" t="s">
        <v>16</v>
      </c>
      <c r="I378" s="6" t="s">
        <v>251</v>
      </c>
      <c r="J378" s="7">
        <v>43623</v>
      </c>
      <c r="K378" s="7">
        <f t="shared" si="24"/>
        <v>44343</v>
      </c>
      <c r="L378" s="17" t="s">
        <v>99</v>
      </c>
      <c r="M378" s="13"/>
    </row>
    <row r="379" spans="1:13" s="14" customFormat="1" ht="18" customHeight="1" x14ac:dyDescent="0.2">
      <c r="A379" s="3" t="s">
        <v>27</v>
      </c>
      <c r="B379" s="3"/>
      <c r="C379" s="3" t="s">
        <v>49</v>
      </c>
      <c r="D379" s="4" t="s">
        <v>174</v>
      </c>
      <c r="E379" s="4" t="s">
        <v>174</v>
      </c>
      <c r="F379" s="16" t="s">
        <v>13</v>
      </c>
      <c r="G379" s="5" t="s">
        <v>13</v>
      </c>
      <c r="H379" s="5" t="s">
        <v>16</v>
      </c>
      <c r="I379" s="6" t="s">
        <v>175</v>
      </c>
      <c r="J379" s="7">
        <v>43259</v>
      </c>
      <c r="K379" s="7">
        <f t="shared" si="24"/>
        <v>43979</v>
      </c>
      <c r="L379" s="17" t="s">
        <v>99</v>
      </c>
      <c r="M379" s="13"/>
    </row>
    <row r="380" spans="1:13" s="14" customFormat="1" ht="18" customHeight="1" x14ac:dyDescent="0.2">
      <c r="A380" s="3" t="s">
        <v>27</v>
      </c>
      <c r="B380" s="3"/>
      <c r="C380" s="3" t="s">
        <v>20</v>
      </c>
      <c r="D380" s="4" t="s">
        <v>259</v>
      </c>
      <c r="E380" s="4" t="s">
        <v>259</v>
      </c>
      <c r="F380" s="16" t="s">
        <v>13</v>
      </c>
      <c r="G380" s="5" t="s">
        <v>28</v>
      </c>
      <c r="H380" s="5" t="s">
        <v>16</v>
      </c>
      <c r="I380" s="6" t="s">
        <v>260</v>
      </c>
      <c r="J380" s="7">
        <v>43623</v>
      </c>
      <c r="K380" s="7">
        <f t="shared" si="24"/>
        <v>44343</v>
      </c>
      <c r="L380" s="17" t="s">
        <v>99</v>
      </c>
      <c r="M380" s="13"/>
    </row>
    <row r="381" spans="1:13" s="14" customFormat="1" ht="18" customHeight="1" x14ac:dyDescent="0.2">
      <c r="A381" s="3" t="s">
        <v>27</v>
      </c>
      <c r="B381" s="3"/>
      <c r="C381" s="3" t="s">
        <v>49</v>
      </c>
      <c r="D381" s="4" t="s">
        <v>551</v>
      </c>
      <c r="E381" s="4" t="s">
        <v>551</v>
      </c>
      <c r="F381" s="16" t="s">
        <v>13</v>
      </c>
      <c r="G381" s="5" t="s">
        <v>146</v>
      </c>
      <c r="H381" s="5" t="s">
        <v>16</v>
      </c>
      <c r="I381" s="6" t="s">
        <v>253</v>
      </c>
      <c r="J381" s="7">
        <v>43623</v>
      </c>
      <c r="K381" s="7">
        <f t="shared" si="24"/>
        <v>44343</v>
      </c>
      <c r="L381" s="17" t="s">
        <v>99</v>
      </c>
      <c r="M381" s="13"/>
    </row>
    <row r="382" spans="1:13" s="14" customFormat="1" ht="18" customHeight="1" x14ac:dyDescent="0.2">
      <c r="A382" s="3" t="s">
        <v>27</v>
      </c>
      <c r="B382" s="3"/>
      <c r="C382" s="3" t="s">
        <v>49</v>
      </c>
      <c r="D382" s="4" t="s">
        <v>552</v>
      </c>
      <c r="E382" s="4" t="s">
        <v>552</v>
      </c>
      <c r="F382" s="16" t="s">
        <v>13</v>
      </c>
      <c r="G382" s="5" t="s">
        <v>28</v>
      </c>
      <c r="H382" s="5" t="s">
        <v>16</v>
      </c>
      <c r="I382" s="6" t="s">
        <v>224</v>
      </c>
      <c r="J382" s="7">
        <v>43417</v>
      </c>
      <c r="K382" s="7">
        <f t="shared" si="24"/>
        <v>44137</v>
      </c>
      <c r="L382" s="17" t="s">
        <v>99</v>
      </c>
      <c r="M382" s="13"/>
    </row>
    <row r="383" spans="1:13" s="14" customFormat="1" ht="18" customHeight="1" x14ac:dyDescent="0.2">
      <c r="A383" s="3" t="s">
        <v>27</v>
      </c>
      <c r="B383" s="3"/>
      <c r="C383" s="3" t="s">
        <v>48</v>
      </c>
      <c r="D383" s="4" t="s">
        <v>548</v>
      </c>
      <c r="E383" s="4" t="s">
        <v>548</v>
      </c>
      <c r="F383" s="16" t="s">
        <v>13</v>
      </c>
      <c r="G383" s="5" t="s">
        <v>267</v>
      </c>
      <c r="H383" s="5" t="s">
        <v>16</v>
      </c>
      <c r="I383" s="6" t="s">
        <v>268</v>
      </c>
      <c r="J383" s="7">
        <v>43623</v>
      </c>
      <c r="K383" s="7">
        <f t="shared" si="24"/>
        <v>44343</v>
      </c>
      <c r="L383" s="17" t="s">
        <v>99</v>
      </c>
      <c r="M383" s="13"/>
    </row>
    <row r="384" spans="1:13" s="14" customFormat="1" ht="18" customHeight="1" x14ac:dyDescent="0.2">
      <c r="A384" s="3" t="s">
        <v>27</v>
      </c>
      <c r="B384" s="3"/>
      <c r="C384" s="3" t="s">
        <v>20</v>
      </c>
      <c r="D384" s="4" t="s">
        <v>550</v>
      </c>
      <c r="E384" s="4" t="s">
        <v>550</v>
      </c>
      <c r="F384" s="16" t="s">
        <v>13</v>
      </c>
      <c r="G384" s="5" t="s">
        <v>13</v>
      </c>
      <c r="H384" s="5" t="s">
        <v>16</v>
      </c>
      <c r="I384" s="6" t="s">
        <v>262</v>
      </c>
      <c r="J384" s="7">
        <v>43623</v>
      </c>
      <c r="K384" s="7">
        <f t="shared" si="24"/>
        <v>44343</v>
      </c>
      <c r="L384" s="17" t="s">
        <v>99</v>
      </c>
      <c r="M384" s="13"/>
    </row>
    <row r="385" spans="1:13" s="14" customFormat="1" ht="18" customHeight="1" x14ac:dyDescent="0.2">
      <c r="A385" s="3" t="s">
        <v>27</v>
      </c>
      <c r="B385" s="3"/>
      <c r="C385" s="3" t="s">
        <v>20</v>
      </c>
      <c r="D385" s="4" t="s">
        <v>576</v>
      </c>
      <c r="E385" s="4" t="s">
        <v>576</v>
      </c>
      <c r="F385" s="16" t="s">
        <v>13</v>
      </c>
      <c r="G385" s="5" t="s">
        <v>28</v>
      </c>
      <c r="H385" s="5" t="s">
        <v>67</v>
      </c>
      <c r="I385" s="6">
        <v>1800636</v>
      </c>
      <c r="J385" s="7">
        <v>43137</v>
      </c>
      <c r="K385" s="7">
        <f t="shared" si="24"/>
        <v>43857</v>
      </c>
      <c r="L385" s="17" t="s">
        <v>99</v>
      </c>
      <c r="M385" s="13"/>
    </row>
    <row r="386" spans="1:13" s="14" customFormat="1" ht="18" customHeight="1" x14ac:dyDescent="0.2">
      <c r="A386" s="3" t="s">
        <v>27</v>
      </c>
      <c r="B386" s="3"/>
      <c r="C386" s="3" t="s">
        <v>20</v>
      </c>
      <c r="D386" s="4" t="s">
        <v>549</v>
      </c>
      <c r="E386" s="4" t="s">
        <v>549</v>
      </c>
      <c r="F386" s="16" t="s">
        <v>13</v>
      </c>
      <c r="G386" s="5" t="s">
        <v>28</v>
      </c>
      <c r="H386" s="5" t="s">
        <v>16</v>
      </c>
      <c r="I386" s="6" t="s">
        <v>285</v>
      </c>
      <c r="J386" s="7">
        <v>43623</v>
      </c>
      <c r="K386" s="7">
        <f t="shared" si="24"/>
        <v>44343</v>
      </c>
      <c r="L386" s="17" t="s">
        <v>99</v>
      </c>
      <c r="M386" s="13"/>
    </row>
    <row r="387" spans="1:13" s="14" customFormat="1" ht="18" customHeight="1" x14ac:dyDescent="0.2">
      <c r="A387" s="3" t="s">
        <v>27</v>
      </c>
      <c r="B387" s="3"/>
      <c r="C387" s="3" t="s">
        <v>20</v>
      </c>
      <c r="D387" s="4" t="s">
        <v>575</v>
      </c>
      <c r="E387" s="4" t="s">
        <v>575</v>
      </c>
      <c r="F387" s="16" t="s">
        <v>13</v>
      </c>
      <c r="G387" s="5" t="s">
        <v>28</v>
      </c>
      <c r="H387" s="5" t="s">
        <v>16</v>
      </c>
      <c r="I387" s="6" t="s">
        <v>176</v>
      </c>
      <c r="J387" s="7">
        <v>43259</v>
      </c>
      <c r="K387" s="7">
        <f t="shared" si="24"/>
        <v>43979</v>
      </c>
      <c r="L387" s="17" t="s">
        <v>99</v>
      </c>
      <c r="M387" s="13"/>
    </row>
    <row r="388" spans="1:13" s="14" customFormat="1" ht="18" customHeight="1" x14ac:dyDescent="0.2">
      <c r="A388" s="3" t="s">
        <v>1268</v>
      </c>
      <c r="B388" s="3"/>
      <c r="C388" s="3" t="s">
        <v>187</v>
      </c>
      <c r="D388" s="4">
        <v>1777</v>
      </c>
      <c r="E388" s="4">
        <v>1777</v>
      </c>
      <c r="F388" s="16">
        <v>3010000577</v>
      </c>
      <c r="G388" s="5" t="s">
        <v>1452</v>
      </c>
      <c r="H388" s="5" t="s">
        <v>163</v>
      </c>
      <c r="I388" s="6">
        <v>2506011</v>
      </c>
      <c r="J388" s="7">
        <v>45716</v>
      </c>
      <c r="K388" s="7">
        <f t="shared" si="24"/>
        <v>46436</v>
      </c>
      <c r="L388" s="17" t="s">
        <v>99</v>
      </c>
      <c r="M388" s="13"/>
    </row>
    <row r="389" spans="1:13" s="14" customFormat="1" ht="18" customHeight="1" x14ac:dyDescent="0.2">
      <c r="A389" s="3" t="s">
        <v>1268</v>
      </c>
      <c r="B389" s="3"/>
      <c r="C389" s="3" t="s">
        <v>187</v>
      </c>
      <c r="D389" s="74">
        <v>1863</v>
      </c>
      <c r="E389" s="4">
        <v>1863</v>
      </c>
      <c r="F389" s="16">
        <v>308000000</v>
      </c>
      <c r="G389" s="5" t="s">
        <v>188</v>
      </c>
      <c r="H389" s="5" t="s">
        <v>163</v>
      </c>
      <c r="I389" s="42">
        <v>2415675</v>
      </c>
      <c r="J389" s="7">
        <v>45461</v>
      </c>
      <c r="K389" s="7">
        <f t="shared" si="24"/>
        <v>46181</v>
      </c>
      <c r="L389" s="17" t="s">
        <v>1257</v>
      </c>
      <c r="M389" s="13"/>
    </row>
    <row r="390" spans="1:13" s="14" customFormat="1" ht="18" customHeight="1" x14ac:dyDescent="0.2">
      <c r="A390" s="3" t="s">
        <v>1268</v>
      </c>
      <c r="B390" s="3" t="s">
        <v>1542</v>
      </c>
      <c r="C390" s="3" t="s">
        <v>187</v>
      </c>
      <c r="D390" s="74">
        <v>1864</v>
      </c>
      <c r="E390" s="4">
        <v>1864</v>
      </c>
      <c r="F390" s="16">
        <v>308001262</v>
      </c>
      <c r="G390" s="5" t="s">
        <v>1132</v>
      </c>
      <c r="H390" s="5" t="s">
        <v>163</v>
      </c>
      <c r="I390" s="42">
        <v>2506012</v>
      </c>
      <c r="J390" s="7">
        <v>45716</v>
      </c>
      <c r="K390" s="7">
        <f t="shared" si="24"/>
        <v>46436</v>
      </c>
      <c r="L390" s="17" t="s">
        <v>1257</v>
      </c>
      <c r="M390" s="13"/>
    </row>
    <row r="391" spans="1:13" s="14" customFormat="1" ht="18" customHeight="1" x14ac:dyDescent="0.2">
      <c r="A391" s="3" t="s">
        <v>1268</v>
      </c>
      <c r="B391" s="3" t="s">
        <v>1543</v>
      </c>
      <c r="C391" s="3" t="s">
        <v>187</v>
      </c>
      <c r="D391" s="4" t="s">
        <v>1202</v>
      </c>
      <c r="E391" s="4" t="s">
        <v>1202</v>
      </c>
      <c r="F391" s="16">
        <v>601096603</v>
      </c>
      <c r="G391" s="5" t="s">
        <v>1203</v>
      </c>
      <c r="H391" s="5" t="s">
        <v>163</v>
      </c>
      <c r="I391" s="42">
        <v>2506010</v>
      </c>
      <c r="J391" s="7">
        <v>45716</v>
      </c>
      <c r="K391" s="7">
        <f>J391+720</f>
        <v>46436</v>
      </c>
      <c r="L391" s="17" t="s">
        <v>1548</v>
      </c>
      <c r="M391" s="13"/>
    </row>
    <row r="392" spans="1:13" s="14" customFormat="1" ht="18" customHeight="1" x14ac:dyDescent="0.2">
      <c r="A392" s="3" t="s">
        <v>1268</v>
      </c>
      <c r="B392" s="3"/>
      <c r="C392" s="3" t="s">
        <v>297</v>
      </c>
      <c r="D392" s="74" t="s">
        <v>1297</v>
      </c>
      <c r="E392" s="4" t="s">
        <v>1297</v>
      </c>
      <c r="F392" s="16">
        <v>2310000110</v>
      </c>
      <c r="G392" s="5" t="s">
        <v>1351</v>
      </c>
      <c r="H392" s="5" t="s">
        <v>163</v>
      </c>
      <c r="I392" s="42">
        <v>2423156</v>
      </c>
      <c r="J392" s="7">
        <v>45498</v>
      </c>
      <c r="K392" s="7">
        <f t="shared" si="24"/>
        <v>46218</v>
      </c>
      <c r="L392" s="17" t="s">
        <v>1257</v>
      </c>
      <c r="M392" s="13"/>
    </row>
    <row r="393" spans="1:13" s="14" customFormat="1" ht="18" customHeight="1" x14ac:dyDescent="0.2">
      <c r="A393" s="3" t="s">
        <v>306</v>
      </c>
      <c r="B393" s="3"/>
      <c r="C393" s="3" t="s">
        <v>307</v>
      </c>
      <c r="D393" s="4">
        <v>1953</v>
      </c>
      <c r="E393" s="4">
        <v>1953</v>
      </c>
      <c r="F393" s="16">
        <v>1094754</v>
      </c>
      <c r="G393" s="5" t="s">
        <v>308</v>
      </c>
      <c r="H393" s="5" t="s">
        <v>16</v>
      </c>
      <c r="I393" s="42" t="s">
        <v>1256</v>
      </c>
      <c r="J393" s="7">
        <v>45308</v>
      </c>
      <c r="K393" s="7">
        <f t="shared" si="24"/>
        <v>46028</v>
      </c>
      <c r="L393" s="17" t="s">
        <v>99</v>
      </c>
      <c r="M393" s="13"/>
    </row>
    <row r="394" spans="1:13" s="14" customFormat="1" ht="18" customHeight="1" x14ac:dyDescent="0.2">
      <c r="A394" s="3" t="s">
        <v>328</v>
      </c>
      <c r="B394" s="3"/>
      <c r="C394" s="3" t="s">
        <v>329</v>
      </c>
      <c r="D394" s="4" t="s">
        <v>13</v>
      </c>
      <c r="E394" s="4" t="s">
        <v>13</v>
      </c>
      <c r="F394" s="16" t="s">
        <v>333</v>
      </c>
      <c r="G394" s="5" t="s">
        <v>331</v>
      </c>
      <c r="H394" s="5" t="s">
        <v>310</v>
      </c>
      <c r="I394" s="6" t="s">
        <v>334</v>
      </c>
      <c r="J394" s="7">
        <v>43775</v>
      </c>
      <c r="K394" s="7">
        <f>J394+365</f>
        <v>44140</v>
      </c>
      <c r="L394" s="17" t="s">
        <v>99</v>
      </c>
      <c r="M394" s="13"/>
    </row>
    <row r="395" spans="1:13" s="14" customFormat="1" ht="18" customHeight="1" x14ac:dyDescent="0.2">
      <c r="A395" s="3" t="s">
        <v>328</v>
      </c>
      <c r="B395" s="3"/>
      <c r="C395" s="3" t="s">
        <v>329</v>
      </c>
      <c r="D395" s="4" t="s">
        <v>13</v>
      </c>
      <c r="E395" s="4" t="s">
        <v>13</v>
      </c>
      <c r="F395" s="16" t="s">
        <v>330</v>
      </c>
      <c r="G395" s="5" t="s">
        <v>331</v>
      </c>
      <c r="H395" s="5" t="s">
        <v>310</v>
      </c>
      <c r="I395" s="6" t="s">
        <v>332</v>
      </c>
      <c r="J395" s="7">
        <v>43775</v>
      </c>
      <c r="K395" s="7">
        <f>J395+365</f>
        <v>44140</v>
      </c>
      <c r="L395" s="17" t="s">
        <v>99</v>
      </c>
      <c r="M395" s="13"/>
    </row>
    <row r="396" spans="1:13" s="14" customFormat="1" ht="18" customHeight="1" x14ac:dyDescent="0.2">
      <c r="A396" s="3" t="s">
        <v>594</v>
      </c>
      <c r="B396" s="3" t="s">
        <v>1117</v>
      </c>
      <c r="C396" s="3" t="s">
        <v>13</v>
      </c>
      <c r="D396" s="4">
        <v>348</v>
      </c>
      <c r="E396" s="4">
        <v>348</v>
      </c>
      <c r="F396" s="16">
        <v>348</v>
      </c>
      <c r="G396" s="5" t="s">
        <v>595</v>
      </c>
      <c r="H396" s="5" t="s">
        <v>825</v>
      </c>
      <c r="I396" s="6" t="s">
        <v>596</v>
      </c>
      <c r="J396" s="7">
        <v>45093</v>
      </c>
      <c r="K396" s="7">
        <f>J396+365</f>
        <v>45458</v>
      </c>
      <c r="L396" s="17" t="s">
        <v>99</v>
      </c>
      <c r="M396" s="13"/>
    </row>
    <row r="397" spans="1:13" s="13" customFormat="1" ht="18" customHeight="1" x14ac:dyDescent="0.2">
      <c r="A397" s="3" t="s">
        <v>109</v>
      </c>
      <c r="B397" s="3" t="s">
        <v>1126</v>
      </c>
      <c r="C397" s="3" t="s">
        <v>1127</v>
      </c>
      <c r="D397" s="4" t="s">
        <v>1128</v>
      </c>
      <c r="E397" s="4" t="s">
        <v>1128</v>
      </c>
      <c r="F397" s="16" t="s">
        <v>103</v>
      </c>
      <c r="G397" s="5" t="s">
        <v>1129</v>
      </c>
      <c r="H397" s="5" t="s">
        <v>1130</v>
      </c>
      <c r="I397" s="6" t="s">
        <v>1131</v>
      </c>
      <c r="J397" s="7">
        <v>44713</v>
      </c>
      <c r="K397" s="7">
        <f>J397+720</f>
        <v>45433</v>
      </c>
      <c r="L397" s="17" t="s">
        <v>99</v>
      </c>
    </row>
    <row r="398" spans="1:13" s="13" customFormat="1" ht="18" customHeight="1" x14ac:dyDescent="0.2">
      <c r="A398" s="3" t="s">
        <v>109</v>
      </c>
      <c r="B398" s="3"/>
      <c r="C398" s="3" t="s">
        <v>29</v>
      </c>
      <c r="D398" s="4" t="s">
        <v>112</v>
      </c>
      <c r="E398" s="4" t="s">
        <v>112</v>
      </c>
      <c r="F398" s="16" t="s">
        <v>110</v>
      </c>
      <c r="G398" s="5" t="s">
        <v>111</v>
      </c>
      <c r="H398" s="5" t="s">
        <v>163</v>
      </c>
      <c r="I398" s="6">
        <v>2428325</v>
      </c>
      <c r="J398" s="7">
        <v>45540</v>
      </c>
      <c r="K398" s="7">
        <f>J398+720</f>
        <v>46260</v>
      </c>
      <c r="L398" s="17" t="s">
        <v>1257</v>
      </c>
    </row>
    <row r="399" spans="1:13" s="15" customFormat="1" ht="18" customHeight="1" x14ac:dyDescent="0.2">
      <c r="A399" s="65" t="s">
        <v>129</v>
      </c>
      <c r="B399" s="3"/>
      <c r="C399" s="3" t="s">
        <v>29</v>
      </c>
      <c r="D399" s="4" t="s">
        <v>130</v>
      </c>
      <c r="E399" s="4" t="s">
        <v>130</v>
      </c>
      <c r="F399" s="16">
        <v>8808922</v>
      </c>
      <c r="G399" s="5" t="s">
        <v>111</v>
      </c>
      <c r="H399" s="5" t="s">
        <v>163</v>
      </c>
      <c r="I399" s="42">
        <v>2433433</v>
      </c>
      <c r="J399" s="7">
        <v>45583</v>
      </c>
      <c r="K399" s="7">
        <f>J399+720</f>
        <v>46303</v>
      </c>
      <c r="L399" s="17" t="s">
        <v>1257</v>
      </c>
      <c r="M399" s="13"/>
    </row>
    <row r="400" spans="1:13" s="15" customFormat="1" ht="18" customHeight="1" x14ac:dyDescent="0.2">
      <c r="A400" s="3" t="s">
        <v>1118</v>
      </c>
      <c r="B400" s="3"/>
      <c r="C400" s="3" t="s">
        <v>864</v>
      </c>
      <c r="D400" s="4" t="s">
        <v>336</v>
      </c>
      <c r="E400" s="4" t="s">
        <v>336</v>
      </c>
      <c r="F400" s="16" t="s">
        <v>13</v>
      </c>
      <c r="G400" s="5" t="s">
        <v>366</v>
      </c>
      <c r="H400" s="5" t="s">
        <v>857</v>
      </c>
      <c r="I400" s="6">
        <v>14101220221</v>
      </c>
      <c r="J400" s="7">
        <v>44613</v>
      </c>
      <c r="K400" s="7">
        <f>J400+720</f>
        <v>45333</v>
      </c>
      <c r="L400" s="17" t="s">
        <v>99</v>
      </c>
      <c r="M400" s="13"/>
    </row>
    <row r="401" spans="1:13" s="15" customFormat="1" ht="18" customHeight="1" x14ac:dyDescent="0.2">
      <c r="A401" s="3" t="s">
        <v>340</v>
      </c>
      <c r="B401" s="3"/>
      <c r="C401" s="3" t="s">
        <v>297</v>
      </c>
      <c r="D401" s="74" t="s">
        <v>863</v>
      </c>
      <c r="E401" s="4" t="s">
        <v>863</v>
      </c>
      <c r="F401" s="16" t="s">
        <v>13</v>
      </c>
      <c r="G401" s="5" t="s">
        <v>366</v>
      </c>
      <c r="H401" s="5" t="s">
        <v>857</v>
      </c>
      <c r="I401" s="6">
        <v>14103220221</v>
      </c>
      <c r="J401" s="7">
        <v>44613</v>
      </c>
      <c r="K401" s="7">
        <f>J401+365</f>
        <v>44978</v>
      </c>
      <c r="L401" s="17" t="s">
        <v>1257</v>
      </c>
      <c r="M401" s="13"/>
    </row>
    <row r="402" spans="1:13" s="15" customFormat="1" ht="18" customHeight="1" x14ac:dyDescent="0.2">
      <c r="A402" s="3" t="s">
        <v>340</v>
      </c>
      <c r="B402" s="3"/>
      <c r="C402" s="3" t="s">
        <v>297</v>
      </c>
      <c r="D402" s="4" t="s">
        <v>899</v>
      </c>
      <c r="E402" s="16" t="s">
        <v>13</v>
      </c>
      <c r="F402" s="16" t="s">
        <v>13</v>
      </c>
      <c r="G402" s="16" t="s">
        <v>13</v>
      </c>
      <c r="H402" s="5" t="s">
        <v>16</v>
      </c>
      <c r="I402" s="6" t="s">
        <v>900</v>
      </c>
      <c r="J402" s="7">
        <v>44585</v>
      </c>
      <c r="K402" s="7">
        <f t="shared" ref="K402:K408" si="25">J402+720</f>
        <v>45305</v>
      </c>
      <c r="L402" s="17" t="s">
        <v>99</v>
      </c>
      <c r="M402" s="13"/>
    </row>
    <row r="403" spans="1:13" s="14" customFormat="1" ht="18" customHeight="1" x14ac:dyDescent="0.2">
      <c r="A403" s="3" t="s">
        <v>340</v>
      </c>
      <c r="B403" s="3"/>
      <c r="C403" s="3" t="s">
        <v>297</v>
      </c>
      <c r="D403" s="74" t="s">
        <v>1266</v>
      </c>
      <c r="E403" s="4" t="s">
        <v>1266</v>
      </c>
      <c r="F403" s="16" t="s">
        <v>45</v>
      </c>
      <c r="G403" s="5" t="s">
        <v>1267</v>
      </c>
      <c r="H403" s="5" t="s">
        <v>163</v>
      </c>
      <c r="I403" s="42">
        <v>2415659</v>
      </c>
      <c r="J403" s="7">
        <v>45457</v>
      </c>
      <c r="K403" s="7">
        <f>J403+720</f>
        <v>46177</v>
      </c>
      <c r="L403" s="17" t="s">
        <v>1257</v>
      </c>
      <c r="M403" s="13"/>
    </row>
    <row r="404" spans="1:13" s="13" customFormat="1" ht="18" customHeight="1" x14ac:dyDescent="0.2">
      <c r="A404" s="65" t="s">
        <v>54</v>
      </c>
      <c r="B404" s="3"/>
      <c r="C404" s="3" t="s">
        <v>29</v>
      </c>
      <c r="D404" s="4" t="s">
        <v>178</v>
      </c>
      <c r="E404" s="4" t="s">
        <v>178</v>
      </c>
      <c r="F404" s="16">
        <v>80367703</v>
      </c>
      <c r="G404" s="5" t="s">
        <v>179</v>
      </c>
      <c r="H404" s="5" t="s">
        <v>163</v>
      </c>
      <c r="I404" s="42">
        <v>2305349</v>
      </c>
      <c r="J404" s="7">
        <v>44995</v>
      </c>
      <c r="K404" s="7">
        <f t="shared" si="25"/>
        <v>45715</v>
      </c>
      <c r="L404" s="17" t="s">
        <v>1257</v>
      </c>
    </row>
    <row r="405" spans="1:13" s="14" customFormat="1" ht="18" customHeight="1" x14ac:dyDescent="0.2">
      <c r="A405" s="3" t="s">
        <v>54</v>
      </c>
      <c r="B405" s="3"/>
      <c r="C405" s="3" t="s">
        <v>29</v>
      </c>
      <c r="D405" s="4" t="s">
        <v>300</v>
      </c>
      <c r="E405" s="4" t="s">
        <v>300</v>
      </c>
      <c r="F405" s="16" t="s">
        <v>301</v>
      </c>
      <c r="G405" s="5" t="s">
        <v>13</v>
      </c>
      <c r="H405" s="5" t="s">
        <v>16</v>
      </c>
      <c r="I405" s="6" t="s">
        <v>833</v>
      </c>
      <c r="J405" s="7">
        <v>44585</v>
      </c>
      <c r="K405" s="7">
        <f t="shared" si="25"/>
        <v>45305</v>
      </c>
      <c r="L405" s="17" t="s">
        <v>99</v>
      </c>
      <c r="M405" s="13"/>
    </row>
    <row r="406" spans="1:13" s="13" customFormat="1" ht="18" customHeight="1" x14ac:dyDescent="0.2">
      <c r="A406" s="3" t="s">
        <v>578</v>
      </c>
      <c r="B406" s="3"/>
      <c r="C406" s="3" t="s">
        <v>29</v>
      </c>
      <c r="D406" s="4" t="s">
        <v>13</v>
      </c>
      <c r="E406" s="4" t="s">
        <v>13</v>
      </c>
      <c r="F406" s="16">
        <v>6825125</v>
      </c>
      <c r="G406" s="5" t="s">
        <v>13</v>
      </c>
      <c r="H406" s="5" t="s">
        <v>572</v>
      </c>
      <c r="I406" s="6" t="s">
        <v>554</v>
      </c>
      <c r="J406" s="7">
        <v>43606</v>
      </c>
      <c r="K406" s="7">
        <f t="shared" si="25"/>
        <v>44326</v>
      </c>
      <c r="L406" s="17" t="s">
        <v>99</v>
      </c>
    </row>
    <row r="407" spans="1:13" s="13" customFormat="1" ht="18" customHeight="1" x14ac:dyDescent="0.2">
      <c r="A407" s="65" t="s">
        <v>491</v>
      </c>
      <c r="B407" s="3"/>
      <c r="C407" s="3" t="s">
        <v>46</v>
      </c>
      <c r="D407" s="4" t="s">
        <v>1282</v>
      </c>
      <c r="E407" s="4" t="s">
        <v>1282</v>
      </c>
      <c r="F407" s="16" t="s">
        <v>855</v>
      </c>
      <c r="G407" s="5" t="s">
        <v>856</v>
      </c>
      <c r="H407" s="5" t="s">
        <v>163</v>
      </c>
      <c r="I407" s="42">
        <v>2415697</v>
      </c>
      <c r="J407" s="7">
        <v>45457</v>
      </c>
      <c r="K407" s="7">
        <f t="shared" si="25"/>
        <v>46177</v>
      </c>
      <c r="L407" s="17" t="s">
        <v>1257</v>
      </c>
    </row>
    <row r="408" spans="1:13" s="13" customFormat="1" ht="18" customHeight="1" x14ac:dyDescent="0.2">
      <c r="A408" s="3" t="s">
        <v>491</v>
      </c>
      <c r="B408" s="3"/>
      <c r="C408" s="3" t="s">
        <v>29</v>
      </c>
      <c r="D408" s="4" t="s">
        <v>245</v>
      </c>
      <c r="E408" s="4" t="s">
        <v>245</v>
      </c>
      <c r="F408" s="16" t="s">
        <v>828</v>
      </c>
      <c r="G408" s="5" t="s">
        <v>13</v>
      </c>
      <c r="H408" s="5" t="s">
        <v>492</v>
      </c>
      <c r="I408" s="6" t="s">
        <v>829</v>
      </c>
      <c r="J408" s="7">
        <v>44573</v>
      </c>
      <c r="K408" s="7">
        <f t="shared" si="25"/>
        <v>45293</v>
      </c>
      <c r="L408" s="17" t="s">
        <v>99</v>
      </c>
    </row>
    <row r="409" spans="1:13" s="13" customFormat="1" ht="18" customHeight="1" x14ac:dyDescent="0.2">
      <c r="A409" s="3" t="s">
        <v>93</v>
      </c>
      <c r="B409" s="3"/>
      <c r="C409" s="3" t="s">
        <v>65</v>
      </c>
      <c r="D409" s="74">
        <v>1081</v>
      </c>
      <c r="E409" s="4">
        <v>1081</v>
      </c>
      <c r="F409" s="16" t="s">
        <v>153</v>
      </c>
      <c r="G409" s="5" t="s">
        <v>13</v>
      </c>
      <c r="H409" s="5" t="s">
        <v>16</v>
      </c>
      <c r="I409" s="42" t="s">
        <v>1125</v>
      </c>
      <c r="J409" s="7">
        <v>44956</v>
      </c>
      <c r="K409" s="7" t="s">
        <v>580</v>
      </c>
      <c r="L409" s="17" t="s">
        <v>1257</v>
      </c>
    </row>
    <row r="410" spans="1:13" s="15" customFormat="1" ht="18" customHeight="1" x14ac:dyDescent="0.2">
      <c r="A410" s="3" t="s">
        <v>93</v>
      </c>
      <c r="B410" s="3"/>
      <c r="C410" s="3" t="s">
        <v>65</v>
      </c>
      <c r="D410" s="4">
        <v>1105</v>
      </c>
      <c r="E410" s="4">
        <v>1105</v>
      </c>
      <c r="F410" s="16" t="s">
        <v>165</v>
      </c>
      <c r="G410" s="5" t="s">
        <v>13</v>
      </c>
      <c r="H410" s="5" t="s">
        <v>16</v>
      </c>
      <c r="I410" s="6" t="s">
        <v>392</v>
      </c>
      <c r="J410" s="7">
        <v>44012</v>
      </c>
      <c r="K410" s="7" t="s">
        <v>580</v>
      </c>
      <c r="L410" s="17" t="s">
        <v>99</v>
      </c>
      <c r="M410" s="13"/>
    </row>
    <row r="411" spans="1:13" s="18" customFormat="1" ht="18" customHeight="1" x14ac:dyDescent="0.2">
      <c r="A411" s="3" t="s">
        <v>93</v>
      </c>
      <c r="B411" s="3"/>
      <c r="C411" s="3" t="s">
        <v>65</v>
      </c>
      <c r="D411" s="4">
        <v>1122</v>
      </c>
      <c r="E411" s="4">
        <v>1122</v>
      </c>
      <c r="F411" s="16" t="s">
        <v>898</v>
      </c>
      <c r="G411" s="5" t="s">
        <v>13</v>
      </c>
      <c r="H411" s="5" t="s">
        <v>16</v>
      </c>
      <c r="I411" s="6" t="s">
        <v>403</v>
      </c>
      <c r="J411" s="7">
        <v>44012</v>
      </c>
      <c r="K411" s="7" t="s">
        <v>580</v>
      </c>
      <c r="L411" s="17" t="s">
        <v>99</v>
      </c>
      <c r="M411" s="13"/>
    </row>
    <row r="412" spans="1:13" s="13" customFormat="1" ht="18" customHeight="1" x14ac:dyDescent="0.2">
      <c r="A412" s="3" t="s">
        <v>93</v>
      </c>
      <c r="B412" s="3" t="s">
        <v>1092</v>
      </c>
      <c r="C412" s="3" t="s">
        <v>446</v>
      </c>
      <c r="D412" s="4">
        <v>3185</v>
      </c>
      <c r="E412" s="4">
        <v>3185</v>
      </c>
      <c r="F412" s="16">
        <v>3185</v>
      </c>
      <c r="G412" s="5" t="s">
        <v>1090</v>
      </c>
      <c r="H412" s="5" t="s">
        <v>446</v>
      </c>
      <c r="I412" s="42" t="s">
        <v>1091</v>
      </c>
      <c r="J412" s="7">
        <v>44844</v>
      </c>
      <c r="K412" s="7" t="s">
        <v>580</v>
      </c>
      <c r="L412" s="17" t="s">
        <v>1257</v>
      </c>
    </row>
    <row r="413" spans="1:13" s="13" customFormat="1" ht="18" customHeight="1" x14ac:dyDescent="0.2">
      <c r="A413" s="3" t="s">
        <v>93</v>
      </c>
      <c r="B413" s="3"/>
      <c r="C413" s="3" t="s">
        <v>65</v>
      </c>
      <c r="D413" s="4" t="s">
        <v>553</v>
      </c>
      <c r="E413" s="4" t="s">
        <v>553</v>
      </c>
      <c r="F413" s="16" t="s">
        <v>13</v>
      </c>
      <c r="G413" s="5" t="s">
        <v>319</v>
      </c>
      <c r="H413" s="5" t="s">
        <v>16</v>
      </c>
      <c r="I413" s="6" t="s">
        <v>320</v>
      </c>
      <c r="J413" s="7">
        <v>43773</v>
      </c>
      <c r="K413" s="7" t="s">
        <v>580</v>
      </c>
      <c r="L413" s="17" t="s">
        <v>1257</v>
      </c>
    </row>
    <row r="414" spans="1:13" s="13" customFormat="1" ht="18" customHeight="1" x14ac:dyDescent="0.2">
      <c r="A414" s="3" t="s">
        <v>704</v>
      </c>
      <c r="B414" s="3"/>
      <c r="C414" s="3" t="s">
        <v>446</v>
      </c>
      <c r="D414" s="4" t="s">
        <v>13</v>
      </c>
      <c r="E414" s="4" t="s">
        <v>13</v>
      </c>
      <c r="F414" s="16">
        <v>1857</v>
      </c>
      <c r="G414" s="5" t="s">
        <v>703</v>
      </c>
      <c r="H414" s="5" t="s">
        <v>422</v>
      </c>
      <c r="I414" s="6" t="s">
        <v>448</v>
      </c>
      <c r="J414" s="7">
        <v>44025</v>
      </c>
      <c r="K414" s="7">
        <f>J414+720</f>
        <v>44745</v>
      </c>
      <c r="L414" s="17" t="s">
        <v>99</v>
      </c>
    </row>
    <row r="415" spans="1:13" s="15" customFormat="1" ht="18" customHeight="1" x14ac:dyDescent="0.2">
      <c r="A415" s="3" t="s">
        <v>161</v>
      </c>
      <c r="B415" s="3"/>
      <c r="C415" s="3" t="s">
        <v>103</v>
      </c>
      <c r="D415" s="4" t="s">
        <v>162</v>
      </c>
      <c r="E415" s="4" t="s">
        <v>162</v>
      </c>
      <c r="F415" s="16" t="s">
        <v>13</v>
      </c>
      <c r="G415" s="5" t="s">
        <v>13</v>
      </c>
      <c r="H415" s="5" t="s">
        <v>163</v>
      </c>
      <c r="I415" s="6">
        <v>1713886</v>
      </c>
      <c r="J415" s="7">
        <v>42975</v>
      </c>
      <c r="K415" s="7">
        <f>J415+1080</f>
        <v>44055</v>
      </c>
      <c r="L415" s="17" t="s">
        <v>99</v>
      </c>
      <c r="M415" s="13"/>
    </row>
    <row r="416" spans="1:13" s="13" customFormat="1" ht="18" customHeight="1" x14ac:dyDescent="0.2">
      <c r="A416" s="3" t="s">
        <v>386</v>
      </c>
      <c r="B416" s="3"/>
      <c r="C416" s="3" t="s">
        <v>103</v>
      </c>
      <c r="D416" s="4">
        <v>319</v>
      </c>
      <c r="E416" s="4">
        <v>319</v>
      </c>
      <c r="F416" s="16" t="s">
        <v>13</v>
      </c>
      <c r="G416" s="5" t="s">
        <v>13</v>
      </c>
      <c r="H416" s="5" t="s">
        <v>16</v>
      </c>
      <c r="I416" s="6" t="s">
        <v>387</v>
      </c>
      <c r="J416" s="7">
        <v>44013</v>
      </c>
      <c r="K416" s="7">
        <f>J416+1080</f>
        <v>45093</v>
      </c>
      <c r="L416" s="17" t="s">
        <v>99</v>
      </c>
    </row>
    <row r="417" spans="1:13" s="13" customFormat="1" ht="18" customHeight="1" x14ac:dyDescent="0.2">
      <c r="A417" s="3" t="s">
        <v>386</v>
      </c>
      <c r="B417" s="3" t="s">
        <v>1092</v>
      </c>
      <c r="C417" s="3" t="s">
        <v>446</v>
      </c>
      <c r="D417" s="4">
        <v>3218</v>
      </c>
      <c r="E417" s="4">
        <v>3218</v>
      </c>
      <c r="F417" s="16">
        <v>3218</v>
      </c>
      <c r="G417" s="5" t="s">
        <v>1093</v>
      </c>
      <c r="H417" s="5" t="s">
        <v>446</v>
      </c>
      <c r="I417" s="6" t="s">
        <v>1094</v>
      </c>
      <c r="J417" s="7">
        <v>44114</v>
      </c>
      <c r="K417" s="7">
        <f>J417+1080</f>
        <v>45194</v>
      </c>
      <c r="L417" s="17" t="s">
        <v>99</v>
      </c>
    </row>
    <row r="418" spans="1:13" s="13" customFormat="1" ht="18" customHeight="1" x14ac:dyDescent="0.2">
      <c r="A418" s="3" t="s">
        <v>1496</v>
      </c>
      <c r="B418" s="3" t="s">
        <v>1495</v>
      </c>
      <c r="C418" s="3" t="s">
        <v>13</v>
      </c>
      <c r="D418" s="4" t="s">
        <v>13</v>
      </c>
      <c r="E418" s="4" t="s">
        <v>13</v>
      </c>
      <c r="F418" s="16" t="s">
        <v>13</v>
      </c>
      <c r="G418" s="5" t="s">
        <v>13</v>
      </c>
      <c r="H418" s="5" t="s">
        <v>1497</v>
      </c>
      <c r="I418" s="6" t="s">
        <v>1498</v>
      </c>
      <c r="J418" s="7">
        <v>45663</v>
      </c>
      <c r="K418" s="7">
        <f>J418+365</f>
        <v>46028</v>
      </c>
      <c r="L418" s="17" t="s">
        <v>1257</v>
      </c>
    </row>
    <row r="419" spans="1:13" s="13" customFormat="1" ht="18" customHeight="1" x14ac:dyDescent="0.2">
      <c r="A419" s="3" t="s">
        <v>708</v>
      </c>
      <c r="B419" s="3"/>
      <c r="C419" s="3" t="s">
        <v>709</v>
      </c>
      <c r="D419" s="4">
        <v>76</v>
      </c>
      <c r="E419" s="4">
        <v>76</v>
      </c>
      <c r="F419" s="16">
        <v>15546</v>
      </c>
      <c r="G419" s="5" t="s">
        <v>710</v>
      </c>
      <c r="H419" s="5" t="s">
        <v>1580</v>
      </c>
      <c r="I419" s="42" t="s">
        <v>1608</v>
      </c>
      <c r="J419" s="7">
        <v>45831</v>
      </c>
      <c r="K419" s="7">
        <f>J419+720</f>
        <v>46551</v>
      </c>
      <c r="L419" s="17" t="s">
        <v>1257</v>
      </c>
    </row>
    <row r="420" spans="1:13" s="14" customFormat="1" ht="18" customHeight="1" x14ac:dyDescent="0.2">
      <c r="A420" s="3" t="s">
        <v>555</v>
      </c>
      <c r="B420" s="3"/>
      <c r="C420" s="3" t="s">
        <v>20</v>
      </c>
      <c r="D420" s="4" t="s">
        <v>556</v>
      </c>
      <c r="E420" s="4" t="s">
        <v>556</v>
      </c>
      <c r="F420" s="16" t="s">
        <v>13</v>
      </c>
      <c r="G420" s="5" t="s">
        <v>13</v>
      </c>
      <c r="H420" s="5" t="s">
        <v>572</v>
      </c>
      <c r="I420" s="6" t="s">
        <v>577</v>
      </c>
      <c r="J420" s="7">
        <v>43595</v>
      </c>
      <c r="K420" s="7">
        <f t="shared" ref="K420:K427" si="26">J420+1080</f>
        <v>44675</v>
      </c>
      <c r="L420" s="17" t="s">
        <v>99</v>
      </c>
      <c r="M420" s="13"/>
    </row>
    <row r="421" spans="1:13" s="13" customFormat="1" ht="18" customHeight="1" x14ac:dyDescent="0.2">
      <c r="A421" s="3" t="s">
        <v>30</v>
      </c>
      <c r="B421" s="3"/>
      <c r="C421" s="3" t="s">
        <v>31</v>
      </c>
      <c r="D421" s="4" t="s">
        <v>32</v>
      </c>
      <c r="E421" s="4" t="s">
        <v>32</v>
      </c>
      <c r="F421" s="16" t="s">
        <v>13</v>
      </c>
      <c r="G421" s="5" t="s">
        <v>13</v>
      </c>
      <c r="H421" s="5" t="s">
        <v>16</v>
      </c>
      <c r="I421" s="6" t="s">
        <v>244</v>
      </c>
      <c r="J421" s="7">
        <v>43623</v>
      </c>
      <c r="K421" s="7">
        <f t="shared" si="26"/>
        <v>44703</v>
      </c>
      <c r="L421" s="17" t="s">
        <v>99</v>
      </c>
    </row>
    <row r="422" spans="1:13" s="13" customFormat="1" ht="18" customHeight="1" x14ac:dyDescent="0.2">
      <c r="A422" s="3" t="s">
        <v>30</v>
      </c>
      <c r="B422" s="3"/>
      <c r="C422" s="3" t="s">
        <v>13</v>
      </c>
      <c r="D422" s="4" t="s">
        <v>242</v>
      </c>
      <c r="E422" s="4" t="s">
        <v>242</v>
      </c>
      <c r="F422" s="16" t="s">
        <v>13</v>
      </c>
      <c r="G422" s="5" t="s">
        <v>13</v>
      </c>
      <c r="H422" s="5" t="s">
        <v>16</v>
      </c>
      <c r="I422" s="6" t="s">
        <v>243</v>
      </c>
      <c r="J422" s="7">
        <v>43623</v>
      </c>
      <c r="K422" s="7">
        <f t="shared" si="26"/>
        <v>44703</v>
      </c>
      <c r="L422" s="17" t="s">
        <v>99</v>
      </c>
    </row>
    <row r="423" spans="1:13" s="13" customFormat="1" ht="18" customHeight="1" x14ac:dyDescent="0.2">
      <c r="A423" s="3" t="s">
        <v>30</v>
      </c>
      <c r="B423" s="3"/>
      <c r="C423" s="3" t="s">
        <v>13</v>
      </c>
      <c r="D423" s="4" t="s">
        <v>360</v>
      </c>
      <c r="E423" s="4" t="s">
        <v>360</v>
      </c>
      <c r="F423" s="16" t="s">
        <v>13</v>
      </c>
      <c r="G423" s="5" t="s">
        <v>13</v>
      </c>
      <c r="H423" s="5" t="s">
        <v>171</v>
      </c>
      <c r="I423" s="6">
        <v>2001364</v>
      </c>
      <c r="J423" s="7">
        <v>43901</v>
      </c>
      <c r="K423" s="7">
        <f t="shared" si="26"/>
        <v>44981</v>
      </c>
      <c r="L423" s="17" t="s">
        <v>99</v>
      </c>
    </row>
    <row r="424" spans="1:13" s="13" customFormat="1" ht="18" customHeight="1" x14ac:dyDescent="0.2">
      <c r="A424" s="3" t="s">
        <v>30</v>
      </c>
      <c r="B424" s="3"/>
      <c r="C424" s="3" t="s">
        <v>31</v>
      </c>
      <c r="D424" s="4" t="s">
        <v>359</v>
      </c>
      <c r="E424" s="4" t="s">
        <v>359</v>
      </c>
      <c r="F424" s="16" t="s">
        <v>13</v>
      </c>
      <c r="G424" s="5" t="s">
        <v>13</v>
      </c>
      <c r="H424" s="5" t="s">
        <v>171</v>
      </c>
      <c r="I424" s="6">
        <v>2001363</v>
      </c>
      <c r="J424" s="7">
        <v>43901</v>
      </c>
      <c r="K424" s="7">
        <f t="shared" si="26"/>
        <v>44981</v>
      </c>
      <c r="L424" s="17" t="s">
        <v>99</v>
      </c>
    </row>
    <row r="425" spans="1:13" s="13" customFormat="1" ht="18" customHeight="1" x14ac:dyDescent="0.2">
      <c r="A425" s="3" t="s">
        <v>30</v>
      </c>
      <c r="B425" s="3"/>
      <c r="C425" s="3" t="s">
        <v>48</v>
      </c>
      <c r="D425" s="4" t="s">
        <v>727</v>
      </c>
      <c r="E425" s="4" t="s">
        <v>727</v>
      </c>
      <c r="F425" s="16" t="s">
        <v>13</v>
      </c>
      <c r="G425" s="5" t="s">
        <v>13</v>
      </c>
      <c r="H425" s="5" t="s">
        <v>16</v>
      </c>
      <c r="I425" s="42">
        <v>2316107</v>
      </c>
      <c r="J425" s="7">
        <v>45101</v>
      </c>
      <c r="K425" s="7">
        <f t="shared" si="26"/>
        <v>46181</v>
      </c>
      <c r="L425" s="17" t="s">
        <v>1257</v>
      </c>
    </row>
    <row r="426" spans="1:13" s="13" customFormat="1" ht="18" customHeight="1" x14ac:dyDescent="0.2">
      <c r="A426" s="3" t="s">
        <v>30</v>
      </c>
      <c r="B426" s="3"/>
      <c r="C426" s="3" t="s">
        <v>48</v>
      </c>
      <c r="D426" s="4" t="s">
        <v>728</v>
      </c>
      <c r="E426" s="4" t="s">
        <v>728</v>
      </c>
      <c r="F426" s="16" t="s">
        <v>13</v>
      </c>
      <c r="G426" s="5" t="s">
        <v>13</v>
      </c>
      <c r="H426" s="5" t="s">
        <v>16</v>
      </c>
      <c r="I426" s="6" t="s">
        <v>729</v>
      </c>
      <c r="J426" s="7">
        <v>44358</v>
      </c>
      <c r="K426" s="7">
        <f t="shared" si="26"/>
        <v>45438</v>
      </c>
      <c r="L426" s="17" t="s">
        <v>99</v>
      </c>
    </row>
    <row r="427" spans="1:13" s="13" customFormat="1" ht="18" customHeight="1" x14ac:dyDescent="0.2">
      <c r="A427" s="3" t="s">
        <v>30</v>
      </c>
      <c r="B427" s="3"/>
      <c r="C427" s="3" t="s">
        <v>48</v>
      </c>
      <c r="D427" s="4" t="s">
        <v>730</v>
      </c>
      <c r="E427" s="4" t="s">
        <v>730</v>
      </c>
      <c r="F427" s="16" t="s">
        <v>13</v>
      </c>
      <c r="G427" s="5" t="s">
        <v>13</v>
      </c>
      <c r="H427" s="5" t="s">
        <v>16</v>
      </c>
      <c r="I427" s="6" t="s">
        <v>731</v>
      </c>
      <c r="J427" s="7">
        <v>44358</v>
      </c>
      <c r="K427" s="7">
        <f t="shared" si="26"/>
        <v>45438</v>
      </c>
      <c r="L427" s="17" t="s">
        <v>99</v>
      </c>
    </row>
    <row r="428" spans="1:13" s="13" customFormat="1" ht="18" customHeight="1" x14ac:dyDescent="0.2">
      <c r="A428" s="3" t="s">
        <v>869</v>
      </c>
      <c r="B428" s="3"/>
      <c r="C428" s="3" t="s">
        <v>60</v>
      </c>
      <c r="D428" s="4" t="s">
        <v>870</v>
      </c>
      <c r="E428" s="4" t="s">
        <v>870</v>
      </c>
      <c r="F428" s="16" t="s">
        <v>13</v>
      </c>
      <c r="G428" s="5" t="s">
        <v>13</v>
      </c>
      <c r="H428" s="5" t="s">
        <v>16</v>
      </c>
      <c r="I428" s="6" t="s">
        <v>872</v>
      </c>
      <c r="J428" s="7">
        <v>44648</v>
      </c>
      <c r="K428" s="7">
        <f t="shared" ref="K428:K438" si="27">J428+720</f>
        <v>45368</v>
      </c>
      <c r="L428" s="17" t="s">
        <v>99</v>
      </c>
    </row>
    <row r="429" spans="1:13" s="13" customFormat="1" ht="18" customHeight="1" x14ac:dyDescent="0.2">
      <c r="A429" s="3" t="s">
        <v>869</v>
      </c>
      <c r="B429" s="3"/>
      <c r="C429" s="3" t="s">
        <v>60</v>
      </c>
      <c r="D429" s="4" t="s">
        <v>871</v>
      </c>
      <c r="E429" s="4" t="s">
        <v>871</v>
      </c>
      <c r="F429" s="16" t="s">
        <v>13</v>
      </c>
      <c r="G429" s="5" t="s">
        <v>13</v>
      </c>
      <c r="H429" s="5" t="s">
        <v>16</v>
      </c>
      <c r="I429" s="6" t="s">
        <v>873</v>
      </c>
      <c r="J429" s="7">
        <v>44648</v>
      </c>
      <c r="K429" s="7">
        <f t="shared" si="27"/>
        <v>45368</v>
      </c>
      <c r="L429" s="17" t="s">
        <v>99</v>
      </c>
    </row>
    <row r="430" spans="1:13" s="15" customFormat="1" ht="18" customHeight="1" x14ac:dyDescent="0.2">
      <c r="A430" s="3" t="s">
        <v>96</v>
      </c>
      <c r="B430" s="3"/>
      <c r="C430" s="3" t="s">
        <v>525</v>
      </c>
      <c r="D430" s="74">
        <v>187</v>
      </c>
      <c r="E430" s="4">
        <v>187</v>
      </c>
      <c r="F430" s="16">
        <v>80026</v>
      </c>
      <c r="G430" s="5" t="s">
        <v>13</v>
      </c>
      <c r="H430" s="5" t="s">
        <v>163</v>
      </c>
      <c r="I430" s="42">
        <v>2415698</v>
      </c>
      <c r="J430" s="7">
        <v>45460</v>
      </c>
      <c r="K430" s="7">
        <f t="shared" si="27"/>
        <v>46180</v>
      </c>
      <c r="L430" s="17" t="s">
        <v>1257</v>
      </c>
      <c r="M430" s="13"/>
    </row>
    <row r="431" spans="1:13" s="15" customFormat="1" ht="18" customHeight="1" x14ac:dyDescent="0.2">
      <c r="A431" s="3" t="s">
        <v>96</v>
      </c>
      <c r="B431" s="3"/>
      <c r="C431" s="3" t="s">
        <v>525</v>
      </c>
      <c r="D431" s="4">
        <v>188</v>
      </c>
      <c r="E431" s="4">
        <v>188</v>
      </c>
      <c r="F431" s="16">
        <v>80359</v>
      </c>
      <c r="G431" s="5" t="s">
        <v>13</v>
      </c>
      <c r="H431" s="5" t="s">
        <v>163</v>
      </c>
      <c r="I431" s="42">
        <v>2300725</v>
      </c>
      <c r="J431" s="7">
        <v>44949</v>
      </c>
      <c r="K431" s="7">
        <f t="shared" si="27"/>
        <v>45669</v>
      </c>
      <c r="L431" s="17" t="s">
        <v>1257</v>
      </c>
      <c r="M431" s="13"/>
    </row>
    <row r="432" spans="1:13" s="13" customFormat="1" ht="18" customHeight="1" x14ac:dyDescent="0.2">
      <c r="A432" s="3" t="s">
        <v>96</v>
      </c>
      <c r="B432" s="3"/>
      <c r="C432" s="3" t="s">
        <v>525</v>
      </c>
      <c r="D432" s="4" t="s">
        <v>526</v>
      </c>
      <c r="E432" s="4" t="s">
        <v>526</v>
      </c>
      <c r="F432" s="16">
        <v>80124</v>
      </c>
      <c r="G432" s="5" t="s">
        <v>13</v>
      </c>
      <c r="H432" s="5" t="s">
        <v>527</v>
      </c>
      <c r="I432" s="6" t="s">
        <v>528</v>
      </c>
      <c r="J432" s="7">
        <v>44026</v>
      </c>
      <c r="K432" s="7">
        <f t="shared" si="27"/>
        <v>44746</v>
      </c>
      <c r="L432" s="17" t="s">
        <v>99</v>
      </c>
    </row>
    <row r="433" spans="1:13" s="15" customFormat="1" ht="18" customHeight="1" x14ac:dyDescent="0.2">
      <c r="A433" s="3" t="s">
        <v>293</v>
      </c>
      <c r="B433" s="3"/>
      <c r="C433" s="3" t="s">
        <v>294</v>
      </c>
      <c r="D433" s="74">
        <v>1965</v>
      </c>
      <c r="E433" s="4">
        <v>1965</v>
      </c>
      <c r="F433" s="16">
        <v>9126069</v>
      </c>
      <c r="G433" s="5" t="s">
        <v>295</v>
      </c>
      <c r="H433" s="5" t="s">
        <v>163</v>
      </c>
      <c r="I433" s="42">
        <v>2415664</v>
      </c>
      <c r="J433" s="7">
        <v>45460</v>
      </c>
      <c r="K433" s="7">
        <f t="shared" si="27"/>
        <v>46180</v>
      </c>
      <c r="L433" s="17" t="s">
        <v>1257</v>
      </c>
      <c r="M433" s="13"/>
    </row>
    <row r="434" spans="1:13" s="15" customFormat="1" ht="18" customHeight="1" x14ac:dyDescent="0.2">
      <c r="A434" s="3" t="s">
        <v>293</v>
      </c>
      <c r="B434" s="3"/>
      <c r="C434" s="3" t="s">
        <v>294</v>
      </c>
      <c r="D434" s="74">
        <v>2019</v>
      </c>
      <c r="E434" s="4">
        <v>2019</v>
      </c>
      <c r="F434" s="16">
        <v>4101936</v>
      </c>
      <c r="G434" s="5" t="s">
        <v>295</v>
      </c>
      <c r="H434" s="5" t="s">
        <v>163</v>
      </c>
      <c r="I434" s="42">
        <v>2415667</v>
      </c>
      <c r="J434" s="7">
        <v>45460</v>
      </c>
      <c r="K434" s="7">
        <f t="shared" si="27"/>
        <v>46180</v>
      </c>
      <c r="L434" s="17" t="s">
        <v>1257</v>
      </c>
      <c r="M434" s="13"/>
    </row>
    <row r="435" spans="1:13" s="15" customFormat="1" ht="18" customHeight="1" x14ac:dyDescent="0.2">
      <c r="A435" s="3" t="s">
        <v>293</v>
      </c>
      <c r="B435" s="3"/>
      <c r="C435" s="3" t="s">
        <v>294</v>
      </c>
      <c r="D435" s="74">
        <v>2049</v>
      </c>
      <c r="E435" s="4">
        <v>2049</v>
      </c>
      <c r="F435" s="16">
        <v>4522266</v>
      </c>
      <c r="G435" s="5" t="s">
        <v>295</v>
      </c>
      <c r="H435" s="5" t="s">
        <v>163</v>
      </c>
      <c r="I435" s="42">
        <v>2415665</v>
      </c>
      <c r="J435" s="7">
        <v>45460</v>
      </c>
      <c r="K435" s="7">
        <f t="shared" si="27"/>
        <v>46180</v>
      </c>
      <c r="L435" s="17" t="s">
        <v>1257</v>
      </c>
      <c r="M435" s="13"/>
    </row>
    <row r="436" spans="1:13" s="13" customFormat="1" ht="18" customHeight="1" x14ac:dyDescent="0.2">
      <c r="A436" s="3" t="s">
        <v>390</v>
      </c>
      <c r="B436" s="3"/>
      <c r="C436" s="3" t="s">
        <v>902</v>
      </c>
      <c r="D436" s="74">
        <v>68</v>
      </c>
      <c r="E436" s="4">
        <v>68</v>
      </c>
      <c r="F436" s="4">
        <v>6503706</v>
      </c>
      <c r="G436" s="5" t="s">
        <v>13</v>
      </c>
      <c r="H436" s="5" t="s">
        <v>163</v>
      </c>
      <c r="I436" s="42">
        <v>2415666</v>
      </c>
      <c r="J436" s="7">
        <v>45460</v>
      </c>
      <c r="K436" s="7">
        <f t="shared" si="27"/>
        <v>46180</v>
      </c>
      <c r="L436" s="17" t="s">
        <v>1257</v>
      </c>
    </row>
    <row r="437" spans="1:13" s="13" customFormat="1" ht="18" customHeight="1" x14ac:dyDescent="0.2">
      <c r="A437" s="3" t="s">
        <v>390</v>
      </c>
      <c r="B437" s="3"/>
      <c r="C437" s="3" t="s">
        <v>294</v>
      </c>
      <c r="D437" s="4">
        <v>1951</v>
      </c>
      <c r="E437" s="4">
        <v>1951</v>
      </c>
      <c r="F437" s="16">
        <v>8500782</v>
      </c>
      <c r="G437" s="5" t="s">
        <v>13</v>
      </c>
      <c r="H437" s="5" t="s">
        <v>16</v>
      </c>
      <c r="I437" s="6" t="s">
        <v>391</v>
      </c>
      <c r="J437" s="7">
        <v>44018</v>
      </c>
      <c r="K437" s="7">
        <f t="shared" si="27"/>
        <v>44738</v>
      </c>
      <c r="L437" s="17" t="s">
        <v>99</v>
      </c>
    </row>
    <row r="438" spans="1:13" s="15" customFormat="1" ht="18" customHeight="1" x14ac:dyDescent="0.2">
      <c r="A438" s="3" t="s">
        <v>390</v>
      </c>
      <c r="B438" s="3"/>
      <c r="C438" s="3" t="s">
        <v>538</v>
      </c>
      <c r="D438" s="4" t="s">
        <v>539</v>
      </c>
      <c r="E438" s="4" t="s">
        <v>539</v>
      </c>
      <c r="F438" s="16">
        <v>8929754</v>
      </c>
      <c r="G438" s="5" t="s">
        <v>13</v>
      </c>
      <c r="H438" s="5" t="s">
        <v>422</v>
      </c>
      <c r="I438" s="6" t="s">
        <v>540</v>
      </c>
      <c r="J438" s="7">
        <v>44026</v>
      </c>
      <c r="K438" s="7">
        <f t="shared" si="27"/>
        <v>44746</v>
      </c>
      <c r="L438" s="17" t="s">
        <v>99</v>
      </c>
      <c r="M438" s="13"/>
    </row>
    <row r="439" spans="1:13" s="15" customFormat="1" ht="18" customHeight="1" x14ac:dyDescent="0.25">
      <c r="A439" s="37" t="s">
        <v>1379</v>
      </c>
      <c r="B439" s="21" t="s">
        <v>1381</v>
      </c>
      <c r="C439" s="21" t="s">
        <v>13</v>
      </c>
      <c r="D439" s="4" t="s">
        <v>1380</v>
      </c>
      <c r="E439" s="4" t="s">
        <v>1380</v>
      </c>
      <c r="F439" s="16" t="s">
        <v>13</v>
      </c>
      <c r="G439" s="4" t="s">
        <v>13</v>
      </c>
      <c r="H439" s="5" t="s">
        <v>1372</v>
      </c>
      <c r="I439" s="57" t="s">
        <v>1382</v>
      </c>
      <c r="J439" s="7">
        <v>45539</v>
      </c>
      <c r="K439" s="7">
        <f>J439+365</f>
        <v>45904</v>
      </c>
      <c r="L439" s="53" t="s">
        <v>1257</v>
      </c>
      <c r="M439" s="13"/>
    </row>
    <row r="440" spans="1:13" s="15" customFormat="1" ht="18" customHeight="1" x14ac:dyDescent="0.2">
      <c r="A440" s="3" t="s">
        <v>33</v>
      </c>
      <c r="B440" s="3"/>
      <c r="C440" s="3" t="s">
        <v>8</v>
      </c>
      <c r="D440" s="4">
        <v>31</v>
      </c>
      <c r="E440" s="4">
        <v>31</v>
      </c>
      <c r="F440" s="16">
        <v>2298953</v>
      </c>
      <c r="G440" s="5" t="s">
        <v>784</v>
      </c>
      <c r="H440" s="5" t="s">
        <v>16</v>
      </c>
      <c r="I440" s="6" t="s">
        <v>785</v>
      </c>
      <c r="J440" s="7">
        <v>44418</v>
      </c>
      <c r="K440" s="7">
        <f t="shared" ref="K440:K461" si="28">J440+720</f>
        <v>45138</v>
      </c>
      <c r="L440" s="17" t="s">
        <v>99</v>
      </c>
      <c r="M440" s="13"/>
    </row>
    <row r="441" spans="1:13" s="15" customFormat="1" ht="18" customHeight="1" x14ac:dyDescent="0.2">
      <c r="A441" s="3" t="s">
        <v>33</v>
      </c>
      <c r="B441" s="3"/>
      <c r="C441" s="3" t="s">
        <v>8</v>
      </c>
      <c r="D441" s="4">
        <v>32</v>
      </c>
      <c r="E441" s="4">
        <v>32</v>
      </c>
      <c r="F441" s="16">
        <v>2298952</v>
      </c>
      <c r="G441" s="5" t="s">
        <v>784</v>
      </c>
      <c r="H441" s="5" t="s">
        <v>163</v>
      </c>
      <c r="I441" s="42">
        <v>2433434</v>
      </c>
      <c r="J441" s="7">
        <v>45614</v>
      </c>
      <c r="K441" s="7">
        <f t="shared" si="28"/>
        <v>46334</v>
      </c>
      <c r="L441" s="17" t="s">
        <v>99</v>
      </c>
      <c r="M441" s="13"/>
    </row>
    <row r="442" spans="1:13" s="15" customFormat="1" ht="18" customHeight="1" x14ac:dyDescent="0.2">
      <c r="A442" s="3" t="s">
        <v>33</v>
      </c>
      <c r="B442" s="3"/>
      <c r="C442" s="3" t="s">
        <v>8</v>
      </c>
      <c r="D442" s="4">
        <v>33</v>
      </c>
      <c r="E442" s="4">
        <v>33</v>
      </c>
      <c r="F442" s="16">
        <v>2057279</v>
      </c>
      <c r="G442" s="5" t="s">
        <v>784</v>
      </c>
      <c r="H442" s="5" t="s">
        <v>16</v>
      </c>
      <c r="I442" s="6" t="s">
        <v>786</v>
      </c>
      <c r="J442" s="7">
        <v>44418</v>
      </c>
      <c r="K442" s="7">
        <f t="shared" si="28"/>
        <v>45138</v>
      </c>
      <c r="L442" s="17" t="s">
        <v>99</v>
      </c>
      <c r="M442" s="13"/>
    </row>
    <row r="443" spans="1:13" s="15" customFormat="1" ht="18" customHeight="1" x14ac:dyDescent="0.2">
      <c r="A443" s="3" t="s">
        <v>33</v>
      </c>
      <c r="B443" s="3"/>
      <c r="C443" s="3" t="s">
        <v>8</v>
      </c>
      <c r="D443" s="74">
        <v>34</v>
      </c>
      <c r="E443" s="4">
        <v>34</v>
      </c>
      <c r="F443" s="16">
        <v>2298957</v>
      </c>
      <c r="G443" s="5" t="s">
        <v>784</v>
      </c>
      <c r="H443" s="5" t="s">
        <v>163</v>
      </c>
      <c r="I443" s="42">
        <v>2415661</v>
      </c>
      <c r="J443" s="7">
        <v>45457</v>
      </c>
      <c r="K443" s="7">
        <f t="shared" si="28"/>
        <v>46177</v>
      </c>
      <c r="L443" s="17" t="s">
        <v>1257</v>
      </c>
      <c r="M443" s="13"/>
    </row>
    <row r="444" spans="1:13" s="15" customFormat="1" ht="18" customHeight="1" x14ac:dyDescent="0.2">
      <c r="A444" s="3" t="s">
        <v>33</v>
      </c>
      <c r="B444" s="3"/>
      <c r="C444" s="3" t="s">
        <v>8</v>
      </c>
      <c r="D444" s="4">
        <v>35</v>
      </c>
      <c r="E444" s="4">
        <v>35</v>
      </c>
      <c r="F444" s="16">
        <v>2298948</v>
      </c>
      <c r="G444" s="5" t="s">
        <v>784</v>
      </c>
      <c r="H444" s="5" t="s">
        <v>16</v>
      </c>
      <c r="I444" s="6" t="s">
        <v>787</v>
      </c>
      <c r="J444" s="7">
        <v>44418</v>
      </c>
      <c r="K444" s="7">
        <f t="shared" si="28"/>
        <v>45138</v>
      </c>
      <c r="L444" s="17" t="s">
        <v>99</v>
      </c>
      <c r="M444" s="13"/>
    </row>
    <row r="445" spans="1:13" s="15" customFormat="1" ht="18" customHeight="1" x14ac:dyDescent="0.2">
      <c r="A445" s="65" t="s">
        <v>33</v>
      </c>
      <c r="B445" s="3"/>
      <c r="C445" s="3" t="s">
        <v>8</v>
      </c>
      <c r="D445" s="74">
        <v>36</v>
      </c>
      <c r="E445" s="4">
        <v>36</v>
      </c>
      <c r="F445" s="16">
        <v>2298954</v>
      </c>
      <c r="G445" s="5" t="s">
        <v>784</v>
      </c>
      <c r="H445" s="5" t="s">
        <v>163</v>
      </c>
      <c r="I445" s="42">
        <v>2415660</v>
      </c>
      <c r="J445" s="7">
        <v>45614</v>
      </c>
      <c r="K445" s="7">
        <f t="shared" si="28"/>
        <v>46334</v>
      </c>
      <c r="L445" s="17" t="s">
        <v>1257</v>
      </c>
      <c r="M445" s="13"/>
    </row>
    <row r="446" spans="1:13" s="15" customFormat="1" ht="18" customHeight="1" x14ac:dyDescent="0.2">
      <c r="A446" s="3" t="s">
        <v>33</v>
      </c>
      <c r="B446" s="3"/>
      <c r="C446" s="3" t="s">
        <v>8</v>
      </c>
      <c r="D446" s="4">
        <v>37</v>
      </c>
      <c r="E446" s="4">
        <v>37</v>
      </c>
      <c r="F446" s="16">
        <v>2298956</v>
      </c>
      <c r="G446" s="5" t="s">
        <v>784</v>
      </c>
      <c r="H446" s="5" t="s">
        <v>16</v>
      </c>
      <c r="I446" s="6" t="s">
        <v>788</v>
      </c>
      <c r="J446" s="7">
        <v>44418</v>
      </c>
      <c r="K446" s="7">
        <f t="shared" si="28"/>
        <v>45138</v>
      </c>
      <c r="L446" s="17" t="s">
        <v>99</v>
      </c>
      <c r="M446" s="13"/>
    </row>
    <row r="447" spans="1:13" s="15" customFormat="1" ht="18" customHeight="1" x14ac:dyDescent="0.2">
      <c r="A447" s="3" t="s">
        <v>33</v>
      </c>
      <c r="B447" s="3"/>
      <c r="C447" s="3" t="s">
        <v>8</v>
      </c>
      <c r="D447" s="4">
        <v>38</v>
      </c>
      <c r="E447" s="4">
        <v>38</v>
      </c>
      <c r="F447" s="16">
        <v>2298947</v>
      </c>
      <c r="G447" s="5" t="s">
        <v>784</v>
      </c>
      <c r="H447" s="5" t="s">
        <v>16</v>
      </c>
      <c r="I447" s="6" t="s">
        <v>789</v>
      </c>
      <c r="J447" s="7">
        <v>44418</v>
      </c>
      <c r="K447" s="7">
        <f t="shared" si="28"/>
        <v>45138</v>
      </c>
      <c r="L447" s="17" t="s">
        <v>99</v>
      </c>
      <c r="M447" s="13"/>
    </row>
    <row r="448" spans="1:13" s="15" customFormat="1" ht="18" customHeight="1" x14ac:dyDescent="0.2">
      <c r="A448" s="3" t="s">
        <v>33</v>
      </c>
      <c r="B448" s="3"/>
      <c r="C448" s="3" t="s">
        <v>405</v>
      </c>
      <c r="D448" s="4">
        <v>131</v>
      </c>
      <c r="E448" s="4">
        <v>131</v>
      </c>
      <c r="F448" s="16" t="s">
        <v>415</v>
      </c>
      <c r="G448" s="5" t="s">
        <v>416</v>
      </c>
      <c r="H448" s="5" t="s">
        <v>163</v>
      </c>
      <c r="I448" s="42">
        <v>2300717</v>
      </c>
      <c r="J448" s="7">
        <v>44950</v>
      </c>
      <c r="K448" s="7">
        <f t="shared" si="28"/>
        <v>45670</v>
      </c>
      <c r="L448" s="17" t="s">
        <v>99</v>
      </c>
      <c r="M448" s="13"/>
    </row>
    <row r="449" spans="1:13" s="15" customFormat="1" ht="18" customHeight="1" x14ac:dyDescent="0.2">
      <c r="A449" s="3" t="s">
        <v>33</v>
      </c>
      <c r="B449" s="3"/>
      <c r="C449" s="3" t="s">
        <v>405</v>
      </c>
      <c r="D449" s="4">
        <v>132</v>
      </c>
      <c r="E449" s="4">
        <v>132</v>
      </c>
      <c r="F449" s="16" t="s">
        <v>417</v>
      </c>
      <c r="G449" s="5" t="s">
        <v>416</v>
      </c>
      <c r="H449" s="5" t="s">
        <v>163</v>
      </c>
      <c r="I449" s="42">
        <v>2300716</v>
      </c>
      <c r="J449" s="7">
        <v>44950</v>
      </c>
      <c r="K449" s="7">
        <f t="shared" si="28"/>
        <v>45670</v>
      </c>
      <c r="L449" s="17" t="s">
        <v>99</v>
      </c>
      <c r="M449" s="13"/>
    </row>
    <row r="450" spans="1:13" s="13" customFormat="1" ht="18" customHeight="1" x14ac:dyDescent="0.2">
      <c r="A450" s="3" t="s">
        <v>33</v>
      </c>
      <c r="B450" s="3"/>
      <c r="C450" s="3" t="s">
        <v>405</v>
      </c>
      <c r="D450" s="4">
        <v>133</v>
      </c>
      <c r="E450" s="4">
        <v>133</v>
      </c>
      <c r="F450" s="16" t="s">
        <v>418</v>
      </c>
      <c r="G450" s="5" t="s">
        <v>416</v>
      </c>
      <c r="H450" s="5" t="s">
        <v>407</v>
      </c>
      <c r="I450" s="6" t="s">
        <v>419</v>
      </c>
      <c r="J450" s="7">
        <v>44022</v>
      </c>
      <c r="K450" s="7">
        <f t="shared" si="28"/>
        <v>44742</v>
      </c>
      <c r="L450" s="17" t="s">
        <v>99</v>
      </c>
    </row>
    <row r="451" spans="1:13" s="14" customFormat="1" ht="18" customHeight="1" x14ac:dyDescent="0.2">
      <c r="A451" s="52" t="s">
        <v>33</v>
      </c>
      <c r="B451" s="3"/>
      <c r="C451" s="3" t="s">
        <v>8</v>
      </c>
      <c r="D451" s="4">
        <v>746</v>
      </c>
      <c r="E451" s="4">
        <v>746</v>
      </c>
      <c r="F451" s="16" t="s">
        <v>13</v>
      </c>
      <c r="G451" s="5" t="s">
        <v>34</v>
      </c>
      <c r="H451" s="5" t="s">
        <v>16</v>
      </c>
      <c r="I451" s="6" t="s">
        <v>598</v>
      </c>
      <c r="J451" s="7">
        <v>44179</v>
      </c>
      <c r="K451" s="7">
        <f t="shared" si="28"/>
        <v>44899</v>
      </c>
      <c r="L451" s="17" t="s">
        <v>99</v>
      </c>
      <c r="M451" s="24" t="s">
        <v>841</v>
      </c>
    </row>
    <row r="452" spans="1:13" s="13" customFormat="1" ht="18" customHeight="1" x14ac:dyDescent="0.2">
      <c r="A452" s="3" t="s">
        <v>33</v>
      </c>
      <c r="B452" s="3"/>
      <c r="C452" s="3" t="s">
        <v>8</v>
      </c>
      <c r="D452" s="4">
        <v>1771</v>
      </c>
      <c r="E452" s="4">
        <v>1771</v>
      </c>
      <c r="F452" s="16" t="s">
        <v>72</v>
      </c>
      <c r="G452" s="5" t="s">
        <v>34</v>
      </c>
      <c r="H452" s="5" t="s">
        <v>16</v>
      </c>
      <c r="I452" s="6" t="s">
        <v>190</v>
      </c>
      <c r="J452" s="7">
        <v>43301</v>
      </c>
      <c r="K452" s="7">
        <f t="shared" si="28"/>
        <v>44021</v>
      </c>
      <c r="L452" s="17" t="s">
        <v>99</v>
      </c>
    </row>
    <row r="453" spans="1:13" s="15" customFormat="1" ht="18" customHeight="1" x14ac:dyDescent="0.2">
      <c r="A453" s="3" t="s">
        <v>33</v>
      </c>
      <c r="B453" s="3"/>
      <c r="C453" s="3" t="s">
        <v>8</v>
      </c>
      <c r="D453" s="4">
        <v>1772</v>
      </c>
      <c r="E453" s="4">
        <v>1772</v>
      </c>
      <c r="F453" s="16" t="s">
        <v>13</v>
      </c>
      <c r="G453" s="5" t="s">
        <v>34</v>
      </c>
      <c r="H453" s="5" t="s">
        <v>16</v>
      </c>
      <c r="I453" s="6" t="s">
        <v>314</v>
      </c>
      <c r="J453" s="7">
        <v>43767</v>
      </c>
      <c r="K453" s="7">
        <f t="shared" si="28"/>
        <v>44487</v>
      </c>
      <c r="L453" s="17" t="s">
        <v>99</v>
      </c>
      <c r="M453" s="13"/>
    </row>
    <row r="454" spans="1:13" s="15" customFormat="1" ht="18" customHeight="1" x14ac:dyDescent="0.2">
      <c r="A454" s="3" t="s">
        <v>33</v>
      </c>
      <c r="B454" s="3"/>
      <c r="C454" s="3" t="s">
        <v>8</v>
      </c>
      <c r="D454" s="4">
        <v>1814</v>
      </c>
      <c r="E454" s="4">
        <v>1814</v>
      </c>
      <c r="F454" s="16" t="s">
        <v>1194</v>
      </c>
      <c r="G454" s="5" t="s">
        <v>101</v>
      </c>
      <c r="H454" s="5" t="s">
        <v>163</v>
      </c>
      <c r="I454" s="42">
        <v>2305358</v>
      </c>
      <c r="J454" s="7">
        <v>44992</v>
      </c>
      <c r="K454" s="7">
        <f t="shared" si="28"/>
        <v>45712</v>
      </c>
      <c r="L454" s="17" t="s">
        <v>99</v>
      </c>
      <c r="M454" s="13"/>
    </row>
    <row r="455" spans="1:13" s="14" customFormat="1" ht="18" customHeight="1" x14ac:dyDescent="0.2">
      <c r="A455" s="3" t="s">
        <v>33</v>
      </c>
      <c r="B455" s="3"/>
      <c r="C455" s="3" t="s">
        <v>8</v>
      </c>
      <c r="D455" s="4">
        <v>1815</v>
      </c>
      <c r="E455" s="4">
        <v>1815</v>
      </c>
      <c r="F455" s="16" t="s">
        <v>13</v>
      </c>
      <c r="G455" s="5" t="s">
        <v>101</v>
      </c>
      <c r="H455" s="5" t="s">
        <v>163</v>
      </c>
      <c r="I455" s="42">
        <v>2300718</v>
      </c>
      <c r="J455" s="7">
        <v>44950</v>
      </c>
      <c r="K455" s="7">
        <f t="shared" si="28"/>
        <v>45670</v>
      </c>
      <c r="L455" s="17" t="s">
        <v>99</v>
      </c>
      <c r="M455" s="13"/>
    </row>
    <row r="456" spans="1:13" s="13" customFormat="1" ht="18" customHeight="1" x14ac:dyDescent="0.2">
      <c r="A456" s="3" t="s">
        <v>33</v>
      </c>
      <c r="B456" s="3"/>
      <c r="C456" s="3" t="s">
        <v>8</v>
      </c>
      <c r="D456" s="4">
        <v>1816</v>
      </c>
      <c r="E456" s="4">
        <v>1816</v>
      </c>
      <c r="F456" s="16" t="s">
        <v>13</v>
      </c>
      <c r="G456" s="5" t="s">
        <v>101</v>
      </c>
      <c r="H456" s="5" t="s">
        <v>171</v>
      </c>
      <c r="I456" s="6">
        <v>2004659</v>
      </c>
      <c r="J456" s="7">
        <v>44057</v>
      </c>
      <c r="K456" s="7">
        <f t="shared" si="28"/>
        <v>44777</v>
      </c>
      <c r="L456" s="17" t="s">
        <v>99</v>
      </c>
    </row>
    <row r="457" spans="1:13" s="13" customFormat="1" ht="18" customHeight="1" x14ac:dyDescent="0.2">
      <c r="A457" s="3" t="s">
        <v>33</v>
      </c>
      <c r="B457" s="3"/>
      <c r="C457" s="3" t="s">
        <v>8</v>
      </c>
      <c r="D457" s="4">
        <v>2108</v>
      </c>
      <c r="E457" s="4">
        <v>2108</v>
      </c>
      <c r="F457" s="16">
        <v>3187359</v>
      </c>
      <c r="G457" s="5" t="s">
        <v>101</v>
      </c>
      <c r="H457" s="5" t="s">
        <v>163</v>
      </c>
      <c r="I457" s="42">
        <v>2307188</v>
      </c>
      <c r="J457" s="7">
        <v>45008</v>
      </c>
      <c r="K457" s="7">
        <f t="shared" si="28"/>
        <v>45728</v>
      </c>
      <c r="L457" s="17" t="s">
        <v>99</v>
      </c>
    </row>
    <row r="458" spans="1:13" s="13" customFormat="1" ht="18" customHeight="1" x14ac:dyDescent="0.2">
      <c r="A458" s="3" t="s">
        <v>33</v>
      </c>
      <c r="B458" s="3"/>
      <c r="C458" s="3" t="s">
        <v>8</v>
      </c>
      <c r="D458" s="4">
        <v>2109</v>
      </c>
      <c r="E458" s="4">
        <v>2109</v>
      </c>
      <c r="F458" s="16">
        <v>3187361</v>
      </c>
      <c r="G458" s="5" t="s">
        <v>101</v>
      </c>
      <c r="H458" s="5" t="s">
        <v>163</v>
      </c>
      <c r="I458" s="42">
        <v>2517766</v>
      </c>
      <c r="J458" s="7">
        <v>45812</v>
      </c>
      <c r="K458" s="7">
        <f t="shared" si="28"/>
        <v>46532</v>
      </c>
      <c r="L458" s="17" t="s">
        <v>1548</v>
      </c>
    </row>
    <row r="459" spans="1:13" s="13" customFormat="1" ht="18" customHeight="1" x14ac:dyDescent="0.2">
      <c r="A459" s="3" t="s">
        <v>33</v>
      </c>
      <c r="B459" s="3"/>
      <c r="C459" s="3" t="s">
        <v>8</v>
      </c>
      <c r="D459" s="4">
        <v>2110</v>
      </c>
      <c r="E459" s="4">
        <v>2110</v>
      </c>
      <c r="F459" s="16">
        <v>3187362</v>
      </c>
      <c r="G459" s="5" t="s">
        <v>101</v>
      </c>
      <c r="H459" s="5" t="s">
        <v>163</v>
      </c>
      <c r="I459" s="42">
        <v>2307190</v>
      </c>
      <c r="J459" s="7">
        <v>45007</v>
      </c>
      <c r="K459" s="7">
        <f t="shared" si="28"/>
        <v>45727</v>
      </c>
      <c r="L459" s="17" t="s">
        <v>99</v>
      </c>
    </row>
    <row r="460" spans="1:13" s="13" customFormat="1" ht="18" customHeight="1" x14ac:dyDescent="0.2">
      <c r="A460" s="3" t="s">
        <v>33</v>
      </c>
      <c r="B460" s="3"/>
      <c r="C460" s="3" t="s">
        <v>8</v>
      </c>
      <c r="D460" s="74">
        <v>2111</v>
      </c>
      <c r="E460" s="4">
        <v>2111</v>
      </c>
      <c r="F460" s="16">
        <v>3187358</v>
      </c>
      <c r="G460" s="5" t="s">
        <v>101</v>
      </c>
      <c r="H460" s="5" t="s">
        <v>163</v>
      </c>
      <c r="I460" s="42">
        <v>2307191</v>
      </c>
      <c r="J460" s="7">
        <v>45010</v>
      </c>
      <c r="K460" s="7">
        <f t="shared" si="28"/>
        <v>45730</v>
      </c>
      <c r="L460" s="17" t="s">
        <v>1257</v>
      </c>
    </row>
    <row r="461" spans="1:13" s="13" customFormat="1" ht="18" customHeight="1" x14ac:dyDescent="0.2">
      <c r="A461" s="3" t="s">
        <v>33</v>
      </c>
      <c r="B461" s="3"/>
      <c r="C461" s="3" t="s">
        <v>8</v>
      </c>
      <c r="D461" s="4">
        <v>2112</v>
      </c>
      <c r="E461" s="4">
        <v>2112</v>
      </c>
      <c r="F461" s="16">
        <v>3187364</v>
      </c>
      <c r="G461" s="5" t="s">
        <v>101</v>
      </c>
      <c r="H461" s="5" t="s">
        <v>163</v>
      </c>
      <c r="I461" s="42">
        <v>2307192</v>
      </c>
      <c r="J461" s="7">
        <v>45011</v>
      </c>
      <c r="K461" s="7">
        <f t="shared" si="28"/>
        <v>45731</v>
      </c>
      <c r="L461" s="17" t="s">
        <v>99</v>
      </c>
    </row>
    <row r="462" spans="1:13" s="13" customFormat="1" ht="18" customHeight="1" x14ac:dyDescent="0.2">
      <c r="A462" s="3" t="s">
        <v>59</v>
      </c>
      <c r="B462" s="3"/>
      <c r="C462" s="3" t="s">
        <v>124</v>
      </c>
      <c r="D462" s="4" t="s">
        <v>78</v>
      </c>
      <c r="E462" s="4" t="s">
        <v>78</v>
      </c>
      <c r="F462" s="16" t="s">
        <v>13</v>
      </c>
      <c r="G462" s="5" t="s">
        <v>13</v>
      </c>
      <c r="H462" s="5" t="s">
        <v>16</v>
      </c>
      <c r="I462" s="6" t="s">
        <v>557</v>
      </c>
      <c r="J462" s="7">
        <v>43620</v>
      </c>
      <c r="K462" s="7">
        <f>J462+365</f>
        <v>43985</v>
      </c>
      <c r="L462" s="17" t="s">
        <v>99</v>
      </c>
    </row>
    <row r="463" spans="1:13" s="15" customFormat="1" ht="18" customHeight="1" x14ac:dyDescent="0.2">
      <c r="A463" s="3" t="s">
        <v>59</v>
      </c>
      <c r="B463" s="3"/>
      <c r="C463" s="3" t="s">
        <v>13</v>
      </c>
      <c r="D463" s="4" t="s">
        <v>1579</v>
      </c>
      <c r="E463" s="4" t="s">
        <v>1579</v>
      </c>
      <c r="F463" s="16" t="s">
        <v>13</v>
      </c>
      <c r="G463" s="5" t="s">
        <v>13</v>
      </c>
      <c r="H463" s="5" t="s">
        <v>163</v>
      </c>
      <c r="I463" s="42">
        <v>2517765</v>
      </c>
      <c r="J463" s="7">
        <v>45812</v>
      </c>
      <c r="K463" s="7">
        <f>J463+365</f>
        <v>46177</v>
      </c>
      <c r="L463" s="17" t="s">
        <v>1548</v>
      </c>
      <c r="M463" s="13"/>
    </row>
    <row r="464" spans="1:13" s="15" customFormat="1" ht="18" customHeight="1" x14ac:dyDescent="0.2">
      <c r="A464" s="3" t="s">
        <v>59</v>
      </c>
      <c r="B464" s="3"/>
      <c r="C464" s="3" t="s">
        <v>13</v>
      </c>
      <c r="D464" s="4" t="s">
        <v>631</v>
      </c>
      <c r="E464" s="4" t="s">
        <v>631</v>
      </c>
      <c r="F464" s="16" t="s">
        <v>13</v>
      </c>
      <c r="G464" s="5" t="s">
        <v>13</v>
      </c>
      <c r="H464" s="5" t="s">
        <v>16</v>
      </c>
      <c r="I464" s="6" t="s">
        <v>632</v>
      </c>
      <c r="J464" s="7">
        <v>44298</v>
      </c>
      <c r="K464" s="7">
        <f>J464+365</f>
        <v>44663</v>
      </c>
      <c r="L464" s="17" t="s">
        <v>99</v>
      </c>
      <c r="M464" s="13"/>
    </row>
    <row r="465" spans="1:13" s="14" customFormat="1" ht="18" customHeight="1" x14ac:dyDescent="0.2">
      <c r="A465" s="3" t="s">
        <v>59</v>
      </c>
      <c r="B465" s="3"/>
      <c r="C465" s="3" t="s">
        <v>618</v>
      </c>
      <c r="D465" s="4" t="s">
        <v>311</v>
      </c>
      <c r="E465" s="4" t="s">
        <v>311</v>
      </c>
      <c r="F465" s="16" t="s">
        <v>13</v>
      </c>
      <c r="G465" s="5" t="s">
        <v>13</v>
      </c>
      <c r="H465" s="5" t="s">
        <v>16</v>
      </c>
      <c r="I465" s="6" t="s">
        <v>619</v>
      </c>
      <c r="J465" s="7">
        <v>44280</v>
      </c>
      <c r="K465" s="7">
        <f>J465+365</f>
        <v>44645</v>
      </c>
      <c r="L465" s="17" t="s">
        <v>99</v>
      </c>
      <c r="M465" s="13"/>
    </row>
    <row r="466" spans="1:13" s="14" customFormat="1" ht="18" customHeight="1" x14ac:dyDescent="0.2">
      <c r="A466" s="3" t="s">
        <v>371</v>
      </c>
      <c r="B466" s="3"/>
      <c r="C466" s="3" t="s">
        <v>592</v>
      </c>
      <c r="D466" s="4">
        <v>131423</v>
      </c>
      <c r="E466" s="4">
        <v>131423</v>
      </c>
      <c r="F466" s="16">
        <v>131423</v>
      </c>
      <c r="G466" s="5" t="s">
        <v>591</v>
      </c>
      <c r="H466" s="5" t="s">
        <v>310</v>
      </c>
      <c r="I466" s="6" t="s">
        <v>593</v>
      </c>
      <c r="J466" s="7">
        <v>44179</v>
      </c>
      <c r="K466" s="7">
        <f>J466+540</f>
        <v>44719</v>
      </c>
      <c r="L466" s="17" t="s">
        <v>99</v>
      </c>
      <c r="M466" s="13"/>
    </row>
    <row r="467" spans="1:13" s="14" customFormat="1" ht="18" customHeight="1" x14ac:dyDescent="0.2">
      <c r="A467" s="3" t="s">
        <v>371</v>
      </c>
      <c r="B467" s="3"/>
      <c r="C467" s="3" t="s">
        <v>103</v>
      </c>
      <c r="D467" s="4" t="s">
        <v>368</v>
      </c>
      <c r="E467" s="4" t="s">
        <v>368</v>
      </c>
      <c r="F467" s="16" t="s">
        <v>13</v>
      </c>
      <c r="G467" s="5" t="s">
        <v>13</v>
      </c>
      <c r="H467" s="5" t="s">
        <v>367</v>
      </c>
      <c r="I467" s="6" t="s">
        <v>369</v>
      </c>
      <c r="J467" s="7">
        <v>43657</v>
      </c>
      <c r="K467" s="7">
        <f>J467+540</f>
        <v>44197</v>
      </c>
      <c r="L467" s="17" t="s">
        <v>99</v>
      </c>
      <c r="M467" s="13"/>
    </row>
    <row r="468" spans="1:13" s="14" customFormat="1" ht="18" customHeight="1" x14ac:dyDescent="0.2">
      <c r="A468" s="3" t="s">
        <v>1461</v>
      </c>
      <c r="B468" s="3" t="s">
        <v>1117</v>
      </c>
      <c r="C468" s="3" t="s">
        <v>13</v>
      </c>
      <c r="D468" s="4" t="s">
        <v>1465</v>
      </c>
      <c r="E468" s="4" t="s">
        <v>1465</v>
      </c>
      <c r="F468" s="16" t="s">
        <v>13</v>
      </c>
      <c r="G468" s="41" t="s">
        <v>1462</v>
      </c>
      <c r="H468" s="5" t="s">
        <v>1463</v>
      </c>
      <c r="I468" s="6" t="s">
        <v>1464</v>
      </c>
      <c r="J468" s="7">
        <v>45719</v>
      </c>
      <c r="K468" s="7">
        <f>J468+540</f>
        <v>46259</v>
      </c>
      <c r="L468" s="17" t="s">
        <v>1257</v>
      </c>
      <c r="M468" s="13"/>
    </row>
    <row r="469" spans="1:13" s="13" customFormat="1" ht="18" customHeight="1" x14ac:dyDescent="0.2">
      <c r="A469" s="3" t="s">
        <v>61</v>
      </c>
      <c r="B469" s="3"/>
      <c r="C469" s="3" t="s">
        <v>8</v>
      </c>
      <c r="D469" s="4">
        <v>21</v>
      </c>
      <c r="E469" s="4">
        <v>21</v>
      </c>
      <c r="F469" s="16">
        <v>2365127</v>
      </c>
      <c r="G469" s="5" t="s">
        <v>505</v>
      </c>
      <c r="H469" s="5" t="s">
        <v>16</v>
      </c>
      <c r="I469" s="6" t="s">
        <v>803</v>
      </c>
      <c r="J469" s="7">
        <v>44461</v>
      </c>
      <c r="K469" s="7">
        <f t="shared" ref="K469:K498" si="29">J469+720</f>
        <v>45181</v>
      </c>
      <c r="L469" s="17" t="s">
        <v>99</v>
      </c>
    </row>
    <row r="470" spans="1:13" s="13" customFormat="1" ht="18" customHeight="1" x14ac:dyDescent="0.2">
      <c r="A470" s="3" t="s">
        <v>61</v>
      </c>
      <c r="B470" s="3" t="s">
        <v>1123</v>
      </c>
      <c r="C470" s="3" t="s">
        <v>8</v>
      </c>
      <c r="D470" s="4">
        <v>22</v>
      </c>
      <c r="E470" s="4">
        <v>22</v>
      </c>
      <c r="F470" s="16">
        <v>2365115</v>
      </c>
      <c r="G470" s="5" t="s">
        <v>505</v>
      </c>
      <c r="H470" s="5" t="s">
        <v>16</v>
      </c>
      <c r="I470" s="6" t="s">
        <v>790</v>
      </c>
      <c r="J470" s="7">
        <v>44433</v>
      </c>
      <c r="K470" s="7">
        <f t="shared" si="29"/>
        <v>45153</v>
      </c>
      <c r="L470" s="17" t="s">
        <v>99</v>
      </c>
    </row>
    <row r="471" spans="1:13" s="13" customFormat="1" ht="18" customHeight="1" x14ac:dyDescent="0.2">
      <c r="A471" s="3" t="s">
        <v>61</v>
      </c>
      <c r="B471" s="3" t="s">
        <v>1123</v>
      </c>
      <c r="C471" s="3" t="s">
        <v>8</v>
      </c>
      <c r="D471" s="4">
        <v>23</v>
      </c>
      <c r="E471" s="4">
        <v>23</v>
      </c>
      <c r="F471" s="16">
        <v>2365116</v>
      </c>
      <c r="G471" s="5" t="s">
        <v>505</v>
      </c>
      <c r="H471" s="5" t="s">
        <v>16</v>
      </c>
      <c r="I471" s="6" t="s">
        <v>791</v>
      </c>
      <c r="J471" s="7">
        <v>44433</v>
      </c>
      <c r="K471" s="7">
        <f t="shared" si="29"/>
        <v>45153</v>
      </c>
      <c r="L471" s="17" t="s">
        <v>99</v>
      </c>
    </row>
    <row r="472" spans="1:13" s="14" customFormat="1" ht="18" customHeight="1" x14ac:dyDescent="0.2">
      <c r="A472" s="3" t="s">
        <v>61</v>
      </c>
      <c r="B472" s="3"/>
      <c r="C472" s="3" t="s">
        <v>8</v>
      </c>
      <c r="D472" s="4">
        <v>26</v>
      </c>
      <c r="E472" s="4">
        <v>26</v>
      </c>
      <c r="F472" s="16">
        <v>2366543</v>
      </c>
      <c r="G472" s="5" t="s">
        <v>505</v>
      </c>
      <c r="H472" s="5" t="s">
        <v>16</v>
      </c>
      <c r="I472" s="6" t="s">
        <v>744</v>
      </c>
      <c r="J472" s="7">
        <v>44418</v>
      </c>
      <c r="K472" s="7">
        <f t="shared" si="29"/>
        <v>45138</v>
      </c>
      <c r="L472" s="17" t="s">
        <v>99</v>
      </c>
    </row>
    <row r="473" spans="1:13" s="14" customFormat="1" ht="18" customHeight="1" x14ac:dyDescent="0.2">
      <c r="A473" s="3" t="s">
        <v>61</v>
      </c>
      <c r="B473" s="3"/>
      <c r="C473" s="3" t="s">
        <v>8</v>
      </c>
      <c r="D473" s="4">
        <v>27</v>
      </c>
      <c r="E473" s="4">
        <v>27</v>
      </c>
      <c r="F473" s="16">
        <v>2366512</v>
      </c>
      <c r="G473" s="5" t="s">
        <v>505</v>
      </c>
      <c r="H473" s="5" t="s">
        <v>16</v>
      </c>
      <c r="I473" s="6" t="s">
        <v>780</v>
      </c>
      <c r="J473" s="7">
        <v>44418</v>
      </c>
      <c r="K473" s="7">
        <f t="shared" si="29"/>
        <v>45138</v>
      </c>
      <c r="L473" s="17" t="s">
        <v>99</v>
      </c>
    </row>
    <row r="474" spans="1:13" s="13" customFormat="1" ht="18" customHeight="1" x14ac:dyDescent="0.2">
      <c r="A474" s="3" t="s">
        <v>61</v>
      </c>
      <c r="B474" s="3"/>
      <c r="C474" s="3" t="s">
        <v>8</v>
      </c>
      <c r="D474" s="4">
        <v>28</v>
      </c>
      <c r="E474" s="4">
        <v>28</v>
      </c>
      <c r="F474" s="16">
        <v>2366542</v>
      </c>
      <c r="G474" s="5" t="s">
        <v>505</v>
      </c>
      <c r="H474" s="5" t="s">
        <v>16</v>
      </c>
      <c r="I474" s="6" t="s">
        <v>781</v>
      </c>
      <c r="J474" s="7">
        <v>44418</v>
      </c>
      <c r="K474" s="7">
        <f t="shared" si="29"/>
        <v>45138</v>
      </c>
      <c r="L474" s="17" t="s">
        <v>99</v>
      </c>
    </row>
    <row r="475" spans="1:13" s="13" customFormat="1" ht="18" customHeight="1" x14ac:dyDescent="0.2">
      <c r="A475" s="3" t="s">
        <v>61</v>
      </c>
      <c r="B475" s="3"/>
      <c r="C475" s="3" t="s">
        <v>8</v>
      </c>
      <c r="D475" s="4">
        <v>29</v>
      </c>
      <c r="E475" s="4">
        <v>29</v>
      </c>
      <c r="F475" s="16">
        <v>2366519</v>
      </c>
      <c r="G475" s="5" t="s">
        <v>505</v>
      </c>
      <c r="H475" s="5" t="s">
        <v>16</v>
      </c>
      <c r="I475" s="6" t="s">
        <v>782</v>
      </c>
      <c r="J475" s="7">
        <v>44418</v>
      </c>
      <c r="K475" s="7">
        <f t="shared" si="29"/>
        <v>45138</v>
      </c>
      <c r="L475" s="17" t="s">
        <v>99</v>
      </c>
    </row>
    <row r="476" spans="1:13" s="13" customFormat="1" ht="18" customHeight="1" x14ac:dyDescent="0.2">
      <c r="A476" s="3" t="s">
        <v>61</v>
      </c>
      <c r="B476" s="3"/>
      <c r="C476" s="3" t="s">
        <v>8</v>
      </c>
      <c r="D476" s="4">
        <v>30</v>
      </c>
      <c r="E476" s="4">
        <v>30</v>
      </c>
      <c r="F476" s="16"/>
      <c r="G476" s="5" t="s">
        <v>505</v>
      </c>
      <c r="H476" s="5" t="s">
        <v>163</v>
      </c>
      <c r="I476" s="42">
        <v>2305353</v>
      </c>
      <c r="J476" s="7">
        <v>44992</v>
      </c>
      <c r="K476" s="7">
        <f t="shared" si="29"/>
        <v>45712</v>
      </c>
      <c r="L476" s="17" t="s">
        <v>99</v>
      </c>
    </row>
    <row r="477" spans="1:13" s="13" customFormat="1" ht="18" customHeight="1" x14ac:dyDescent="0.2">
      <c r="A477" s="3" t="s">
        <v>61</v>
      </c>
      <c r="B477" s="3"/>
      <c r="C477" s="3" t="s">
        <v>8</v>
      </c>
      <c r="D477" s="4">
        <v>142</v>
      </c>
      <c r="E477" s="4">
        <v>142</v>
      </c>
      <c r="F477" s="16">
        <v>1867412</v>
      </c>
      <c r="G477" s="5" t="s">
        <v>505</v>
      </c>
      <c r="H477" s="5" t="s">
        <v>171</v>
      </c>
      <c r="I477" s="6">
        <v>2004565</v>
      </c>
      <c r="J477" s="7">
        <v>44056</v>
      </c>
      <c r="K477" s="7">
        <f t="shared" si="29"/>
        <v>44776</v>
      </c>
      <c r="L477" s="17" t="s">
        <v>99</v>
      </c>
    </row>
    <row r="478" spans="1:13" s="13" customFormat="1" ht="18" customHeight="1" x14ac:dyDescent="0.2">
      <c r="A478" s="3" t="s">
        <v>61</v>
      </c>
      <c r="B478" s="3"/>
      <c r="C478" s="3" t="s">
        <v>8</v>
      </c>
      <c r="D478" s="4">
        <v>143</v>
      </c>
      <c r="E478" s="4">
        <v>143</v>
      </c>
      <c r="F478" s="16">
        <v>1867407</v>
      </c>
      <c r="G478" s="5" t="s">
        <v>505</v>
      </c>
      <c r="H478" s="5" t="s">
        <v>163</v>
      </c>
      <c r="I478" s="42">
        <v>2305352</v>
      </c>
      <c r="J478" s="7">
        <v>44992</v>
      </c>
      <c r="K478" s="7">
        <f t="shared" si="29"/>
        <v>45712</v>
      </c>
      <c r="L478" s="17" t="s">
        <v>99</v>
      </c>
    </row>
    <row r="479" spans="1:13" s="13" customFormat="1" ht="18" customHeight="1" x14ac:dyDescent="0.2">
      <c r="A479" s="3" t="s">
        <v>61</v>
      </c>
      <c r="B479" s="3"/>
      <c r="C479" s="3" t="s">
        <v>8</v>
      </c>
      <c r="D479" s="4">
        <v>144</v>
      </c>
      <c r="E479" s="4">
        <v>144</v>
      </c>
      <c r="F479" s="16">
        <v>1867437</v>
      </c>
      <c r="G479" s="5" t="s">
        <v>505</v>
      </c>
      <c r="H479" s="5" t="s">
        <v>163</v>
      </c>
      <c r="I479" s="42">
        <v>2300719</v>
      </c>
      <c r="J479" s="7">
        <v>44951</v>
      </c>
      <c r="K479" s="7">
        <f t="shared" si="29"/>
        <v>45671</v>
      </c>
      <c r="L479" s="17" t="s">
        <v>99</v>
      </c>
    </row>
    <row r="480" spans="1:13" s="13" customFormat="1" ht="18" customHeight="1" x14ac:dyDescent="0.2">
      <c r="A480" s="3" t="s">
        <v>61</v>
      </c>
      <c r="B480" s="3"/>
      <c r="C480" s="3" t="s">
        <v>35</v>
      </c>
      <c r="D480" s="4">
        <v>170</v>
      </c>
      <c r="E480" s="4">
        <v>170</v>
      </c>
      <c r="F480" s="16" t="s">
        <v>13</v>
      </c>
      <c r="G480" s="5" t="s">
        <v>541</v>
      </c>
      <c r="H480" s="5" t="s">
        <v>163</v>
      </c>
      <c r="I480" s="6">
        <v>2217128</v>
      </c>
      <c r="J480" s="7">
        <v>44777</v>
      </c>
      <c r="K480" s="7">
        <f t="shared" si="29"/>
        <v>45497</v>
      </c>
      <c r="L480" s="17" t="s">
        <v>99</v>
      </c>
    </row>
    <row r="481" spans="1:12" s="13" customFormat="1" ht="18" customHeight="1" x14ac:dyDescent="0.2">
      <c r="A481" s="3" t="s">
        <v>61</v>
      </c>
      <c r="B481" s="3"/>
      <c r="C481" s="3" t="s">
        <v>919</v>
      </c>
      <c r="D481" s="4">
        <v>171</v>
      </c>
      <c r="E481" s="4">
        <v>171</v>
      </c>
      <c r="F481" s="16">
        <v>131423</v>
      </c>
      <c r="G481" s="5" t="s">
        <v>920</v>
      </c>
      <c r="H481" s="5" t="s">
        <v>163</v>
      </c>
      <c r="I481" s="6">
        <v>2217133</v>
      </c>
      <c r="J481" s="7">
        <v>44777</v>
      </c>
      <c r="K481" s="7">
        <f t="shared" si="29"/>
        <v>45497</v>
      </c>
      <c r="L481" s="17" t="s">
        <v>99</v>
      </c>
    </row>
    <row r="482" spans="1:12" s="13" customFormat="1" ht="18" customHeight="1" x14ac:dyDescent="0.2">
      <c r="A482" s="3" t="s">
        <v>61</v>
      </c>
      <c r="B482" s="3"/>
      <c r="C482" s="3" t="s">
        <v>430</v>
      </c>
      <c r="D482" s="4">
        <v>192</v>
      </c>
      <c r="E482" s="4">
        <v>192</v>
      </c>
      <c r="F482" s="16" t="s">
        <v>13</v>
      </c>
      <c r="G482" s="5" t="s">
        <v>13</v>
      </c>
      <c r="H482" s="5" t="s">
        <v>16</v>
      </c>
      <c r="I482" s="6" t="s">
        <v>629</v>
      </c>
      <c r="J482" s="7">
        <v>44291</v>
      </c>
      <c r="K482" s="7">
        <f t="shared" si="29"/>
        <v>45011</v>
      </c>
      <c r="L482" s="17" t="s">
        <v>99</v>
      </c>
    </row>
    <row r="483" spans="1:12" s="13" customFormat="1" ht="18" customHeight="1" x14ac:dyDescent="0.2">
      <c r="A483" s="3" t="s">
        <v>61</v>
      </c>
      <c r="B483" s="3"/>
      <c r="C483" s="3" t="s">
        <v>430</v>
      </c>
      <c r="D483" s="4">
        <v>193</v>
      </c>
      <c r="E483" s="4">
        <v>193</v>
      </c>
      <c r="F483" s="16" t="s">
        <v>13</v>
      </c>
      <c r="G483" s="5" t="s">
        <v>13</v>
      </c>
      <c r="H483" s="5" t="s">
        <v>16</v>
      </c>
      <c r="I483" s="6" t="s">
        <v>783</v>
      </c>
      <c r="J483" s="7">
        <v>44418</v>
      </c>
      <c r="K483" s="7">
        <f t="shared" si="29"/>
        <v>45138</v>
      </c>
      <c r="L483" s="17" t="s">
        <v>99</v>
      </c>
    </row>
    <row r="484" spans="1:12" s="13" customFormat="1" ht="18" customHeight="1" x14ac:dyDescent="0.2">
      <c r="A484" s="3" t="s">
        <v>61</v>
      </c>
      <c r="B484" s="3"/>
      <c r="C484" s="3" t="s">
        <v>430</v>
      </c>
      <c r="D484" s="74">
        <v>194</v>
      </c>
      <c r="E484" s="4">
        <v>194</v>
      </c>
      <c r="F484" s="16" t="s">
        <v>13</v>
      </c>
      <c r="G484" s="5" t="s">
        <v>13</v>
      </c>
      <c r="H484" s="5" t="s">
        <v>163</v>
      </c>
      <c r="I484" s="42">
        <v>2415671</v>
      </c>
      <c r="J484" s="7">
        <v>45464</v>
      </c>
      <c r="K484" s="7">
        <f t="shared" si="29"/>
        <v>46184</v>
      </c>
      <c r="L484" s="17" t="s">
        <v>1257</v>
      </c>
    </row>
    <row r="485" spans="1:12" s="13" customFormat="1" ht="18" customHeight="1" x14ac:dyDescent="0.2">
      <c r="A485" s="3" t="s">
        <v>61</v>
      </c>
      <c r="B485" s="3"/>
      <c r="C485" s="3" t="s">
        <v>20</v>
      </c>
      <c r="D485" s="4">
        <v>198</v>
      </c>
      <c r="E485" s="4">
        <v>198</v>
      </c>
      <c r="F485" s="16" t="s">
        <v>13</v>
      </c>
      <c r="G485" s="5" t="s">
        <v>427</v>
      </c>
      <c r="H485" s="5" t="s">
        <v>16</v>
      </c>
      <c r="I485" s="6" t="s">
        <v>628</v>
      </c>
      <c r="J485" s="7">
        <v>44291</v>
      </c>
      <c r="K485" s="7">
        <f t="shared" si="29"/>
        <v>45011</v>
      </c>
      <c r="L485" s="17" t="s">
        <v>99</v>
      </c>
    </row>
    <row r="486" spans="1:12" s="13" customFormat="1" ht="18" customHeight="1" x14ac:dyDescent="0.2">
      <c r="A486" s="3" t="s">
        <v>61</v>
      </c>
      <c r="B486" s="3"/>
      <c r="C486" s="3" t="s">
        <v>35</v>
      </c>
      <c r="D486" s="74">
        <v>592</v>
      </c>
      <c r="E486" s="4">
        <v>592</v>
      </c>
      <c r="F486" s="16" t="s">
        <v>36</v>
      </c>
      <c r="G486" s="5" t="s">
        <v>881</v>
      </c>
      <c r="H486" s="5" t="s">
        <v>163</v>
      </c>
      <c r="I486" s="42">
        <v>2415672</v>
      </c>
      <c r="J486" s="7">
        <v>45464</v>
      </c>
      <c r="K486" s="7">
        <f t="shared" si="29"/>
        <v>46184</v>
      </c>
      <c r="L486" s="17" t="s">
        <v>1257</v>
      </c>
    </row>
    <row r="487" spans="1:12" s="13" customFormat="1" ht="18" customHeight="1" x14ac:dyDescent="0.2">
      <c r="A487" s="3" t="s">
        <v>61</v>
      </c>
      <c r="B487" s="3"/>
      <c r="C487" s="3" t="s">
        <v>35</v>
      </c>
      <c r="D487" s="4">
        <v>1920</v>
      </c>
      <c r="E487" s="4">
        <v>1920</v>
      </c>
      <c r="F487" s="16" t="s">
        <v>13</v>
      </c>
      <c r="G487" s="5" t="s">
        <v>13</v>
      </c>
      <c r="H487" s="5" t="s">
        <v>16</v>
      </c>
      <c r="I487" s="6" t="s">
        <v>901</v>
      </c>
      <c r="J487" s="7">
        <v>43767</v>
      </c>
      <c r="K487" s="7">
        <f t="shared" si="29"/>
        <v>44487</v>
      </c>
      <c r="L487" s="17" t="s">
        <v>99</v>
      </c>
    </row>
    <row r="488" spans="1:12" s="13" customFormat="1" ht="18" customHeight="1" x14ac:dyDescent="0.2">
      <c r="A488" s="3" t="s">
        <v>61</v>
      </c>
      <c r="B488" s="3"/>
      <c r="C488" s="3" t="s">
        <v>8</v>
      </c>
      <c r="D488" s="74">
        <v>2103</v>
      </c>
      <c r="E488" s="4">
        <v>2103</v>
      </c>
      <c r="F488" s="16">
        <v>3283495</v>
      </c>
      <c r="G488" s="5" t="s">
        <v>505</v>
      </c>
      <c r="H488" s="5" t="s">
        <v>1545</v>
      </c>
      <c r="I488" s="42" t="s">
        <v>1544</v>
      </c>
      <c r="J488" s="7">
        <v>45763</v>
      </c>
      <c r="K488" s="7">
        <f t="shared" si="29"/>
        <v>46483</v>
      </c>
      <c r="L488" s="17" t="s">
        <v>1257</v>
      </c>
    </row>
    <row r="489" spans="1:12" s="13" customFormat="1" ht="18" customHeight="1" x14ac:dyDescent="0.2">
      <c r="A489" s="65" t="s">
        <v>61</v>
      </c>
      <c r="B489" s="3"/>
      <c r="C489" s="3" t="s">
        <v>8</v>
      </c>
      <c r="D489" s="74">
        <v>2104</v>
      </c>
      <c r="E489" s="4">
        <v>2104</v>
      </c>
      <c r="F489" s="16">
        <v>3283649</v>
      </c>
      <c r="G489" s="5" t="s">
        <v>505</v>
      </c>
      <c r="H489" s="5" t="s">
        <v>1545</v>
      </c>
      <c r="I489" s="42" t="s">
        <v>1546</v>
      </c>
      <c r="J489" s="7">
        <v>45763</v>
      </c>
      <c r="K489" s="7">
        <f t="shared" si="29"/>
        <v>46483</v>
      </c>
      <c r="L489" s="17" t="s">
        <v>1257</v>
      </c>
    </row>
    <row r="490" spans="1:12" s="13" customFormat="1" ht="18" customHeight="1" x14ac:dyDescent="0.2">
      <c r="A490" s="3" t="s">
        <v>61</v>
      </c>
      <c r="B490" s="3"/>
      <c r="C490" s="3" t="s">
        <v>8</v>
      </c>
      <c r="D490" s="4">
        <v>2105</v>
      </c>
      <c r="E490" s="4">
        <v>2105</v>
      </c>
      <c r="F490" s="16">
        <v>3283502</v>
      </c>
      <c r="G490" s="5" t="s">
        <v>505</v>
      </c>
      <c r="H490" s="5" t="s">
        <v>880</v>
      </c>
      <c r="I490" s="42">
        <v>2433435</v>
      </c>
      <c r="J490" s="7">
        <v>45583</v>
      </c>
      <c r="K490" s="7">
        <f t="shared" si="29"/>
        <v>46303</v>
      </c>
      <c r="L490" s="17" t="s">
        <v>1257</v>
      </c>
    </row>
    <row r="491" spans="1:12" s="84" customFormat="1" ht="18" customHeight="1" x14ac:dyDescent="0.25">
      <c r="A491" s="79" t="s">
        <v>61</v>
      </c>
      <c r="B491" s="79"/>
      <c r="C491" s="79" t="s">
        <v>8</v>
      </c>
      <c r="D491" s="80">
        <v>2106</v>
      </c>
      <c r="E491" s="80">
        <v>2106</v>
      </c>
      <c r="F491" s="81">
        <v>3283654</v>
      </c>
      <c r="G491" s="43" t="s">
        <v>505</v>
      </c>
      <c r="H491" s="43" t="s">
        <v>880</v>
      </c>
      <c r="I491" s="42">
        <v>2516660</v>
      </c>
      <c r="J491" s="82">
        <v>45810</v>
      </c>
      <c r="K491" s="82">
        <f>J491+720</f>
        <v>46530</v>
      </c>
      <c r="L491" s="83" t="s">
        <v>1548</v>
      </c>
    </row>
    <row r="492" spans="1:12" s="13" customFormat="1" ht="18" customHeight="1" x14ac:dyDescent="0.2">
      <c r="A492" s="3" t="s">
        <v>61</v>
      </c>
      <c r="B492" s="3"/>
      <c r="C492" s="3" t="s">
        <v>8</v>
      </c>
      <c r="D492" s="4">
        <v>2107</v>
      </c>
      <c r="E492" s="4">
        <v>2107</v>
      </c>
      <c r="F492" s="16">
        <v>3283652</v>
      </c>
      <c r="G492" s="5" t="s">
        <v>505</v>
      </c>
      <c r="H492" s="5" t="s">
        <v>880</v>
      </c>
      <c r="I492" s="42">
        <v>2307187</v>
      </c>
      <c r="J492" s="7">
        <v>45007</v>
      </c>
      <c r="K492" s="7">
        <f t="shared" si="29"/>
        <v>45727</v>
      </c>
      <c r="L492" s="17" t="s">
        <v>99</v>
      </c>
    </row>
    <row r="493" spans="1:12" s="13" customFormat="1" ht="18" customHeight="1" x14ac:dyDescent="0.2">
      <c r="A493" s="3" t="s">
        <v>61</v>
      </c>
      <c r="B493" s="3"/>
      <c r="C493" s="3" t="s">
        <v>13</v>
      </c>
      <c r="D493" s="4" t="s">
        <v>428</v>
      </c>
      <c r="E493" s="4" t="s">
        <v>428</v>
      </c>
      <c r="F493" s="16" t="s">
        <v>13</v>
      </c>
      <c r="G493" s="5" t="s">
        <v>13</v>
      </c>
      <c r="H493" s="5" t="s">
        <v>422</v>
      </c>
      <c r="I493" s="6" t="s">
        <v>429</v>
      </c>
      <c r="J493" s="7">
        <v>44025</v>
      </c>
      <c r="K493" s="7">
        <f t="shared" si="29"/>
        <v>44745</v>
      </c>
      <c r="L493" s="17" t="s">
        <v>99</v>
      </c>
    </row>
    <row r="494" spans="1:12" s="13" customFormat="1" ht="18" customHeight="1" x14ac:dyDescent="0.2">
      <c r="A494" s="3" t="s">
        <v>61</v>
      </c>
      <c r="B494" s="3"/>
      <c r="C494" s="3" t="s">
        <v>430</v>
      </c>
      <c r="D494" s="4" t="s">
        <v>434</v>
      </c>
      <c r="E494" s="4" t="s">
        <v>434</v>
      </c>
      <c r="F494" s="16" t="s">
        <v>13</v>
      </c>
      <c r="G494" s="5" t="s">
        <v>432</v>
      </c>
      <c r="H494" s="5" t="s">
        <v>422</v>
      </c>
      <c r="I494" s="6" t="s">
        <v>435</v>
      </c>
      <c r="J494" s="7">
        <v>44025</v>
      </c>
      <c r="K494" s="7">
        <f t="shared" si="29"/>
        <v>44745</v>
      </c>
      <c r="L494" s="17" t="s">
        <v>99</v>
      </c>
    </row>
    <row r="495" spans="1:12" s="13" customFormat="1" ht="18" customHeight="1" x14ac:dyDescent="0.2">
      <c r="A495" s="3" t="s">
        <v>61</v>
      </c>
      <c r="B495" s="3"/>
      <c r="C495" s="3" t="s">
        <v>430</v>
      </c>
      <c r="D495" s="4" t="s">
        <v>431</v>
      </c>
      <c r="E495" s="4" t="s">
        <v>431</v>
      </c>
      <c r="F495" s="16" t="s">
        <v>13</v>
      </c>
      <c r="G495" s="5" t="s">
        <v>432</v>
      </c>
      <c r="H495" s="5" t="s">
        <v>422</v>
      </c>
      <c r="I495" s="6" t="s">
        <v>433</v>
      </c>
      <c r="J495" s="7">
        <v>44025</v>
      </c>
      <c r="K495" s="7">
        <f t="shared" si="29"/>
        <v>44745</v>
      </c>
      <c r="L495" s="17" t="s">
        <v>99</v>
      </c>
    </row>
    <row r="496" spans="1:12" s="13" customFormat="1" ht="18" customHeight="1" x14ac:dyDescent="0.2">
      <c r="A496" s="3" t="s">
        <v>61</v>
      </c>
      <c r="B496" s="3"/>
      <c r="C496" s="3" t="s">
        <v>8</v>
      </c>
      <c r="D496" s="4" t="s">
        <v>79</v>
      </c>
      <c r="E496" s="4" t="s">
        <v>79</v>
      </c>
      <c r="F496" s="16" t="s">
        <v>13</v>
      </c>
      <c r="G496" s="5" t="s">
        <v>73</v>
      </c>
      <c r="H496" s="5" t="s">
        <v>16</v>
      </c>
      <c r="I496" s="6" t="s">
        <v>241</v>
      </c>
      <c r="J496" s="7">
        <v>43620</v>
      </c>
      <c r="K496" s="7">
        <f t="shared" si="29"/>
        <v>44340</v>
      </c>
      <c r="L496" s="17" t="s">
        <v>99</v>
      </c>
    </row>
    <row r="497" spans="1:13" s="13" customFormat="1" ht="18" customHeight="1" x14ac:dyDescent="0.2">
      <c r="A497" s="3" t="s">
        <v>61</v>
      </c>
      <c r="B497" s="3"/>
      <c r="C497" s="3"/>
      <c r="D497" s="74" t="s">
        <v>1207</v>
      </c>
      <c r="E497" s="4" t="s">
        <v>1207</v>
      </c>
      <c r="F497" s="16" t="s">
        <v>1208</v>
      </c>
      <c r="G497" s="5" t="s">
        <v>1209</v>
      </c>
      <c r="H497" s="5" t="s">
        <v>1545</v>
      </c>
      <c r="I497" s="42" t="s">
        <v>1547</v>
      </c>
      <c r="J497" s="7">
        <v>45763</v>
      </c>
      <c r="K497" s="7">
        <f t="shared" si="29"/>
        <v>46483</v>
      </c>
      <c r="L497" s="17" t="s">
        <v>1257</v>
      </c>
    </row>
    <row r="498" spans="1:13" s="13" customFormat="1" ht="18" customHeight="1" x14ac:dyDescent="0.2">
      <c r="A498" s="3" t="s">
        <v>1086</v>
      </c>
      <c r="B498" s="3" t="s">
        <v>1085</v>
      </c>
      <c r="C498" s="5" t="s">
        <v>8</v>
      </c>
      <c r="D498" s="4" t="s">
        <v>1088</v>
      </c>
      <c r="E498" s="4" t="s">
        <v>73</v>
      </c>
      <c r="F498" s="16"/>
      <c r="G498" s="5"/>
      <c r="H498" s="3" t="s">
        <v>1087</v>
      </c>
      <c r="I498" s="6" t="s">
        <v>1089</v>
      </c>
      <c r="J498" s="7">
        <v>44127</v>
      </c>
      <c r="K498" s="7">
        <f t="shared" si="29"/>
        <v>44847</v>
      </c>
      <c r="L498" s="17" t="s">
        <v>99</v>
      </c>
    </row>
    <row r="499" spans="1:13" s="13" customFormat="1" ht="18" customHeight="1" x14ac:dyDescent="0.2">
      <c r="A499" s="3" t="s">
        <v>370</v>
      </c>
      <c r="B499" s="3"/>
      <c r="C499" s="3" t="s">
        <v>8</v>
      </c>
      <c r="D499" s="74">
        <v>1339</v>
      </c>
      <c r="E499" s="4">
        <v>1339</v>
      </c>
      <c r="F499" s="16" t="s">
        <v>37</v>
      </c>
      <c r="G499" s="5" t="s">
        <v>38</v>
      </c>
      <c r="H499" s="5" t="s">
        <v>234</v>
      </c>
      <c r="I499" s="42">
        <v>2425228</v>
      </c>
      <c r="J499" s="7">
        <v>45528</v>
      </c>
      <c r="K499" s="7">
        <f>J499+365</f>
        <v>45893</v>
      </c>
      <c r="L499" s="17" t="s">
        <v>1257</v>
      </c>
    </row>
    <row r="500" spans="1:13" s="13" customFormat="1" ht="18" customHeight="1" x14ac:dyDescent="0.2">
      <c r="A500" s="3" t="s">
        <v>370</v>
      </c>
      <c r="B500" s="3"/>
      <c r="C500" s="3" t="s">
        <v>53</v>
      </c>
      <c r="D500" s="4" t="s">
        <v>103</v>
      </c>
      <c r="E500" s="4" t="s">
        <v>103</v>
      </c>
      <c r="F500" s="16" t="s">
        <v>168</v>
      </c>
      <c r="G500" s="5">
        <v>3</v>
      </c>
      <c r="H500" s="5" t="s">
        <v>171</v>
      </c>
      <c r="I500" s="6">
        <v>1906616</v>
      </c>
      <c r="J500" s="7">
        <v>43773</v>
      </c>
      <c r="K500" s="7">
        <f>J500+365</f>
        <v>44138</v>
      </c>
      <c r="L500" s="17" t="s">
        <v>99</v>
      </c>
    </row>
    <row r="501" spans="1:13" s="13" customFormat="1" ht="18" customHeight="1" x14ac:dyDescent="0.2">
      <c r="A501" s="3" t="s">
        <v>1510</v>
      </c>
      <c r="B501" s="3" t="s">
        <v>1495</v>
      </c>
      <c r="C501" s="3" t="s">
        <v>1417</v>
      </c>
      <c r="D501" s="4" t="s">
        <v>13</v>
      </c>
      <c r="E501" s="4" t="s">
        <v>13</v>
      </c>
      <c r="F501" s="16" t="s">
        <v>13</v>
      </c>
      <c r="G501" s="5" t="s">
        <v>1511</v>
      </c>
      <c r="H501" s="5" t="s">
        <v>1486</v>
      </c>
      <c r="I501" s="6" t="s">
        <v>1512</v>
      </c>
      <c r="J501" s="7">
        <v>45754</v>
      </c>
      <c r="K501" s="7">
        <f>J501+365</f>
        <v>46119</v>
      </c>
      <c r="L501" s="17" t="s">
        <v>1257</v>
      </c>
    </row>
    <row r="502" spans="1:13" s="13" customFormat="1" ht="18" customHeight="1" x14ac:dyDescent="0.2">
      <c r="A502" s="3" t="s">
        <v>1510</v>
      </c>
      <c r="B502" s="3" t="s">
        <v>1495</v>
      </c>
      <c r="C502" s="3" t="s">
        <v>1417</v>
      </c>
      <c r="D502" s="4" t="s">
        <v>13</v>
      </c>
      <c r="E502" s="4" t="s">
        <v>13</v>
      </c>
      <c r="F502" s="16" t="s">
        <v>13</v>
      </c>
      <c r="G502" s="5" t="s">
        <v>1511</v>
      </c>
      <c r="H502" s="5" t="s">
        <v>1486</v>
      </c>
      <c r="I502" s="6" t="s">
        <v>1513</v>
      </c>
      <c r="J502" s="7">
        <v>45754</v>
      </c>
      <c r="K502" s="7">
        <f>J502+365</f>
        <v>46119</v>
      </c>
      <c r="L502" s="17" t="s">
        <v>1257</v>
      </c>
    </row>
    <row r="503" spans="1:13" s="13" customFormat="1" ht="18" customHeight="1" x14ac:dyDescent="0.2">
      <c r="A503" s="21" t="s">
        <v>1363</v>
      </c>
      <c r="B503" s="21"/>
      <c r="C503" s="21" t="s">
        <v>1359</v>
      </c>
      <c r="D503" s="4">
        <v>2180</v>
      </c>
      <c r="E503" s="4">
        <v>2180</v>
      </c>
      <c r="F503" s="16" t="s">
        <v>1360</v>
      </c>
      <c r="G503" s="4" t="s">
        <v>1361</v>
      </c>
      <c r="H503" s="4" t="s">
        <v>1359</v>
      </c>
      <c r="I503" s="22" t="s">
        <v>1362</v>
      </c>
      <c r="J503" s="7">
        <v>45503</v>
      </c>
      <c r="K503" s="7">
        <f>J503+365</f>
        <v>45868</v>
      </c>
      <c r="L503" s="53" t="s">
        <v>1257</v>
      </c>
    </row>
    <row r="504" spans="1:13" s="15" customFormat="1" ht="18" customHeight="1" x14ac:dyDescent="0.2">
      <c r="A504" s="3" t="s">
        <v>131</v>
      </c>
      <c r="B504" s="3"/>
      <c r="C504" s="3" t="s">
        <v>132</v>
      </c>
      <c r="D504" s="4">
        <v>1778</v>
      </c>
      <c r="E504" s="4">
        <v>1778</v>
      </c>
      <c r="F504" s="16" t="s">
        <v>133</v>
      </c>
      <c r="G504" s="5" t="s">
        <v>134</v>
      </c>
      <c r="H504" s="5" t="s">
        <v>16</v>
      </c>
      <c r="I504" s="42">
        <v>2302084</v>
      </c>
      <c r="J504" s="7">
        <v>44967</v>
      </c>
      <c r="K504" s="7">
        <f t="shared" ref="K504:K517" si="30">J504+720</f>
        <v>45687</v>
      </c>
      <c r="L504" s="17" t="s">
        <v>99</v>
      </c>
      <c r="M504" s="13"/>
    </row>
    <row r="505" spans="1:13" s="13" customFormat="1" ht="18" customHeight="1" x14ac:dyDescent="0.2">
      <c r="A505" s="3" t="s">
        <v>131</v>
      </c>
      <c r="B505" s="3"/>
      <c r="C505" s="3" t="s">
        <v>102</v>
      </c>
      <c r="D505" s="4">
        <v>7188</v>
      </c>
      <c r="E505" s="4">
        <v>7188</v>
      </c>
      <c r="F505" s="16" t="s">
        <v>341</v>
      </c>
      <c r="G505" s="5" t="s">
        <v>342</v>
      </c>
      <c r="H505" s="5" t="s">
        <v>234</v>
      </c>
      <c r="I505" s="6">
        <v>1901658</v>
      </c>
      <c r="J505" s="7">
        <v>43542</v>
      </c>
      <c r="K505" s="7">
        <f t="shared" si="30"/>
        <v>44262</v>
      </c>
      <c r="L505" s="17" t="s">
        <v>99</v>
      </c>
    </row>
    <row r="506" spans="1:13" s="13" customFormat="1" ht="18" customHeight="1" x14ac:dyDescent="0.2">
      <c r="A506" s="3" t="s">
        <v>40</v>
      </c>
      <c r="B506" s="3"/>
      <c r="C506" s="3" t="s">
        <v>102</v>
      </c>
      <c r="D506" s="4">
        <v>815</v>
      </c>
      <c r="E506" s="4">
        <v>815</v>
      </c>
      <c r="F506" s="16" t="s">
        <v>39</v>
      </c>
      <c r="G506" s="5" t="s">
        <v>516</v>
      </c>
      <c r="H506" s="5" t="s">
        <v>163</v>
      </c>
      <c r="I506" s="6">
        <v>2217131</v>
      </c>
      <c r="J506" s="7">
        <v>44777</v>
      </c>
      <c r="K506" s="7">
        <f t="shared" si="30"/>
        <v>45497</v>
      </c>
      <c r="L506" s="17" t="s">
        <v>99</v>
      </c>
    </row>
    <row r="507" spans="1:13" s="13" customFormat="1" ht="18" customHeight="1" x14ac:dyDescent="0.2">
      <c r="A507" s="3" t="s">
        <v>40</v>
      </c>
      <c r="B507" s="3" t="s">
        <v>40</v>
      </c>
      <c r="C507" s="3" t="s">
        <v>40</v>
      </c>
      <c r="D507" s="4">
        <v>1539</v>
      </c>
      <c r="E507" s="4">
        <v>1539</v>
      </c>
      <c r="F507" s="16">
        <v>3426</v>
      </c>
      <c r="G507" s="5">
        <v>100400</v>
      </c>
      <c r="H507" s="5" t="s">
        <v>16</v>
      </c>
      <c r="I507" s="6" t="s">
        <v>517</v>
      </c>
      <c r="J507" s="7">
        <v>44083</v>
      </c>
      <c r="K507" s="7">
        <f t="shared" si="30"/>
        <v>44803</v>
      </c>
      <c r="L507" s="17" t="s">
        <v>99</v>
      </c>
    </row>
    <row r="508" spans="1:13" s="13" customFormat="1" ht="18" customHeight="1" x14ac:dyDescent="0.2">
      <c r="A508" s="3" t="s">
        <v>40</v>
      </c>
      <c r="B508" s="3"/>
      <c r="C508" s="3" t="s">
        <v>132</v>
      </c>
      <c r="D508" s="74">
        <v>1805</v>
      </c>
      <c r="E508" s="4">
        <v>1805</v>
      </c>
      <c r="F508" s="16" t="s">
        <v>1249</v>
      </c>
      <c r="G508" s="5" t="s">
        <v>13</v>
      </c>
      <c r="H508" s="5" t="s">
        <v>163</v>
      </c>
      <c r="I508" s="42">
        <v>2316108</v>
      </c>
      <c r="J508" s="7">
        <v>45125</v>
      </c>
      <c r="K508" s="7">
        <f t="shared" si="30"/>
        <v>45845</v>
      </c>
      <c r="L508" s="17" t="s">
        <v>1257</v>
      </c>
    </row>
    <row r="509" spans="1:13" s="13" customFormat="1" ht="18" customHeight="1" x14ac:dyDescent="0.2">
      <c r="A509" s="3" t="s">
        <v>40</v>
      </c>
      <c r="B509" s="3" t="s">
        <v>1392</v>
      </c>
      <c r="C509" s="3" t="s">
        <v>132</v>
      </c>
      <c r="D509" s="74">
        <v>2183</v>
      </c>
      <c r="E509" s="4">
        <v>2183</v>
      </c>
      <c r="F509" s="16" t="s">
        <v>1394</v>
      </c>
      <c r="G509" s="5" t="s">
        <v>13</v>
      </c>
      <c r="H509" s="5" t="s">
        <v>1396</v>
      </c>
      <c r="I509" s="42">
        <v>81729</v>
      </c>
      <c r="J509" s="7">
        <v>45280</v>
      </c>
      <c r="K509" s="7">
        <f t="shared" si="30"/>
        <v>46000</v>
      </c>
      <c r="L509" s="17" t="s">
        <v>1257</v>
      </c>
    </row>
    <row r="510" spans="1:13" s="13" customFormat="1" ht="18" customHeight="1" x14ac:dyDescent="0.2">
      <c r="A510" s="3" t="s">
        <v>40</v>
      </c>
      <c r="B510" s="3" t="s">
        <v>1393</v>
      </c>
      <c r="C510" s="3" t="s">
        <v>132</v>
      </c>
      <c r="D510" s="74">
        <v>2184</v>
      </c>
      <c r="E510" s="4">
        <v>2184</v>
      </c>
      <c r="F510" s="16" t="s">
        <v>1395</v>
      </c>
      <c r="G510" s="5" t="s">
        <v>13</v>
      </c>
      <c r="H510" s="5" t="s">
        <v>1396</v>
      </c>
      <c r="I510" s="42">
        <v>81328</v>
      </c>
      <c r="J510" s="7">
        <v>45310</v>
      </c>
      <c r="K510" s="7">
        <f t="shared" si="30"/>
        <v>46030</v>
      </c>
      <c r="L510" s="17" t="s">
        <v>1257</v>
      </c>
    </row>
    <row r="511" spans="1:13" s="13" customFormat="1" ht="18" customHeight="1" x14ac:dyDescent="0.2">
      <c r="A511" s="3" t="s">
        <v>1435</v>
      </c>
      <c r="B511" s="3" t="s">
        <v>1434</v>
      </c>
      <c r="C511" s="3" t="s">
        <v>1436</v>
      </c>
      <c r="D511" s="4" t="s">
        <v>1437</v>
      </c>
      <c r="E511" s="4" t="s">
        <v>1437</v>
      </c>
      <c r="F511" s="4" t="s">
        <v>1437</v>
      </c>
      <c r="G511" s="4" t="s">
        <v>1437</v>
      </c>
      <c r="H511" s="5" t="s">
        <v>234</v>
      </c>
      <c r="I511" s="42">
        <v>2500162</v>
      </c>
      <c r="J511" s="7">
        <v>45674</v>
      </c>
      <c r="K511" s="7">
        <f t="shared" si="30"/>
        <v>46394</v>
      </c>
      <c r="L511" s="17" t="s">
        <v>1257</v>
      </c>
    </row>
    <row r="512" spans="1:13" s="13" customFormat="1" ht="18" customHeight="1" x14ac:dyDescent="0.2">
      <c r="A512" s="3" t="s">
        <v>1435</v>
      </c>
      <c r="B512" s="3" t="s">
        <v>1495</v>
      </c>
      <c r="C512" s="3" t="s">
        <v>1499</v>
      </c>
      <c r="D512" s="4">
        <v>464331</v>
      </c>
      <c r="E512" s="4" t="s">
        <v>13</v>
      </c>
      <c r="F512" s="4" t="s">
        <v>1500</v>
      </c>
      <c r="G512" s="4" t="s">
        <v>1501</v>
      </c>
      <c r="H512" s="5" t="s">
        <v>1502</v>
      </c>
      <c r="I512" s="42" t="s">
        <v>1503</v>
      </c>
      <c r="J512" s="7">
        <v>45671</v>
      </c>
      <c r="K512" s="7">
        <f>J512+720</f>
        <v>46391</v>
      </c>
      <c r="L512" s="17" t="s">
        <v>1257</v>
      </c>
    </row>
    <row r="513" spans="1:13" s="13" customFormat="1" ht="18" customHeight="1" x14ac:dyDescent="0.2">
      <c r="A513" s="3" t="s">
        <v>1435</v>
      </c>
      <c r="B513" s="3" t="s">
        <v>1495</v>
      </c>
      <c r="C513" s="3" t="s">
        <v>1514</v>
      </c>
      <c r="D513" s="4" t="s">
        <v>13</v>
      </c>
      <c r="E513" s="4" t="s">
        <v>13</v>
      </c>
      <c r="F513" s="4">
        <v>34</v>
      </c>
      <c r="G513" s="4" t="s">
        <v>1516</v>
      </c>
      <c r="H513" s="5" t="s">
        <v>1486</v>
      </c>
      <c r="I513" s="42" t="s">
        <v>1515</v>
      </c>
      <c r="J513" s="7">
        <v>45754</v>
      </c>
      <c r="K513" s="7">
        <f>J513+720</f>
        <v>46474</v>
      </c>
      <c r="L513" s="17" t="s">
        <v>1257</v>
      </c>
    </row>
    <row r="514" spans="1:13" s="13" customFormat="1" ht="18" customHeight="1" x14ac:dyDescent="0.2">
      <c r="A514" s="3" t="s">
        <v>1435</v>
      </c>
      <c r="B514" s="3" t="s">
        <v>1495</v>
      </c>
      <c r="C514" s="3" t="s">
        <v>1514</v>
      </c>
      <c r="D514" s="4" t="s">
        <v>13</v>
      </c>
      <c r="E514" s="4" t="s">
        <v>13</v>
      </c>
      <c r="F514" s="4">
        <v>1662100908</v>
      </c>
      <c r="G514" s="4" t="s">
        <v>1516</v>
      </c>
      <c r="H514" s="5" t="s">
        <v>1486</v>
      </c>
      <c r="I514" s="42" t="s">
        <v>1517</v>
      </c>
      <c r="J514" s="7">
        <v>45754</v>
      </c>
      <c r="K514" s="7">
        <f>J514+720</f>
        <v>46474</v>
      </c>
      <c r="L514" s="17" t="s">
        <v>1257</v>
      </c>
    </row>
    <row r="515" spans="1:13" s="15" customFormat="1" ht="18" customHeight="1" x14ac:dyDescent="0.2">
      <c r="A515" s="3" t="s">
        <v>85</v>
      </c>
      <c r="B515" s="3"/>
      <c r="C515" s="3" t="s">
        <v>86</v>
      </c>
      <c r="D515" s="4" t="s">
        <v>88</v>
      </c>
      <c r="E515" s="4" t="s">
        <v>88</v>
      </c>
      <c r="F515" s="16">
        <v>5001</v>
      </c>
      <c r="G515" s="5" t="s">
        <v>87</v>
      </c>
      <c r="H515" s="5" t="s">
        <v>16</v>
      </c>
      <c r="I515" s="6" t="s">
        <v>830</v>
      </c>
      <c r="J515" s="7">
        <v>44573</v>
      </c>
      <c r="K515" s="7">
        <f t="shared" si="30"/>
        <v>45293</v>
      </c>
      <c r="L515" s="17" t="s">
        <v>99</v>
      </c>
      <c r="M515" s="13"/>
    </row>
    <row r="516" spans="1:13" s="15" customFormat="1" ht="18" customHeight="1" x14ac:dyDescent="0.2">
      <c r="A516" s="3" t="s">
        <v>85</v>
      </c>
      <c r="B516" s="3"/>
      <c r="C516" s="3" t="s">
        <v>291</v>
      </c>
      <c r="D516" s="4" t="s">
        <v>89</v>
      </c>
      <c r="E516" s="4" t="s">
        <v>89</v>
      </c>
      <c r="F516" s="16" t="s">
        <v>13</v>
      </c>
      <c r="G516" s="5" t="s">
        <v>13</v>
      </c>
      <c r="H516" s="5" t="s">
        <v>16</v>
      </c>
      <c r="I516" s="6" t="s">
        <v>286</v>
      </c>
      <c r="J516" s="7">
        <v>43626</v>
      </c>
      <c r="K516" s="7">
        <f t="shared" si="30"/>
        <v>44346</v>
      </c>
      <c r="L516" s="17" t="s">
        <v>99</v>
      </c>
      <c r="M516" s="13"/>
    </row>
    <row r="517" spans="1:13" s="15" customFormat="1" ht="18" customHeight="1" x14ac:dyDescent="0.2">
      <c r="A517" s="3" t="s">
        <v>85</v>
      </c>
      <c r="B517" s="3"/>
      <c r="C517" s="3" t="s">
        <v>1280</v>
      </c>
      <c r="D517" s="74" t="s">
        <v>1281</v>
      </c>
      <c r="E517" s="4" t="s">
        <v>1281</v>
      </c>
      <c r="F517" s="16" t="s">
        <v>13</v>
      </c>
      <c r="G517" s="5" t="s">
        <v>13</v>
      </c>
      <c r="H517" s="5" t="s">
        <v>163</v>
      </c>
      <c r="I517" s="42">
        <v>2415695</v>
      </c>
      <c r="J517" s="7">
        <v>45457</v>
      </c>
      <c r="K517" s="7">
        <f t="shared" si="30"/>
        <v>46177</v>
      </c>
      <c r="L517" s="17" t="s">
        <v>1257</v>
      </c>
      <c r="M517" s="13"/>
    </row>
    <row r="518" spans="1:13" s="15" customFormat="1" ht="18" customHeight="1" x14ac:dyDescent="0.2">
      <c r="A518" s="3" t="s">
        <v>1373</v>
      </c>
      <c r="B518" s="3" t="s">
        <v>1375</v>
      </c>
      <c r="C518" s="3" t="s">
        <v>1376</v>
      </c>
      <c r="D518" s="4" t="s">
        <v>1374</v>
      </c>
      <c r="E518" s="4" t="s">
        <v>1374</v>
      </c>
      <c r="F518" s="16">
        <v>51903454262</v>
      </c>
      <c r="G518" s="5" t="s">
        <v>1377</v>
      </c>
      <c r="H518" s="5" t="s">
        <v>1372</v>
      </c>
      <c r="I518" s="42" t="s">
        <v>1378</v>
      </c>
      <c r="J518" s="7">
        <v>45539</v>
      </c>
      <c r="K518" s="7">
        <f>J518+365</f>
        <v>45904</v>
      </c>
      <c r="L518" s="17" t="s">
        <v>1257</v>
      </c>
      <c r="M518" s="13"/>
    </row>
    <row r="519" spans="1:13" s="13" customFormat="1" ht="18" customHeight="1" x14ac:dyDescent="0.2">
      <c r="A519" s="3" t="s">
        <v>1373</v>
      </c>
      <c r="B519" s="3" t="s">
        <v>1421</v>
      </c>
      <c r="C519" s="3" t="s">
        <v>1422</v>
      </c>
      <c r="D519" s="4" t="s">
        <v>1423</v>
      </c>
      <c r="E519" s="4"/>
      <c r="F519" s="16"/>
      <c r="G519" s="5" t="s">
        <v>1424</v>
      </c>
      <c r="H519" s="5" t="s">
        <v>1425</v>
      </c>
      <c r="I519" s="42" t="s">
        <v>1426</v>
      </c>
      <c r="J519" s="7">
        <v>45503</v>
      </c>
      <c r="K519" s="7">
        <f>J519+720</f>
        <v>46223</v>
      </c>
      <c r="L519" s="17" t="s">
        <v>1257</v>
      </c>
    </row>
    <row r="520" spans="1:13" s="13" customFormat="1" ht="18" customHeight="1" x14ac:dyDescent="0.2">
      <c r="A520" s="3" t="s">
        <v>1373</v>
      </c>
      <c r="B520" s="3" t="s">
        <v>1431</v>
      </c>
      <c r="C520" s="3" t="s">
        <v>1432</v>
      </c>
      <c r="D520" s="4" t="s">
        <v>1207</v>
      </c>
      <c r="E520" s="4"/>
      <c r="F520" s="16"/>
      <c r="G520" s="5" t="s">
        <v>13</v>
      </c>
      <c r="H520" s="5" t="s">
        <v>234</v>
      </c>
      <c r="I520" s="42">
        <v>2500160</v>
      </c>
      <c r="J520" s="7">
        <v>45673</v>
      </c>
      <c r="K520" s="7">
        <f>J520+720</f>
        <v>46393</v>
      </c>
      <c r="L520" s="17" t="s">
        <v>1257</v>
      </c>
    </row>
    <row r="521" spans="1:13" s="13" customFormat="1" ht="18" customHeight="1" x14ac:dyDescent="0.2">
      <c r="A521" s="3" t="s">
        <v>1373</v>
      </c>
      <c r="B521" s="3" t="s">
        <v>1431</v>
      </c>
      <c r="C521" s="3" t="s">
        <v>1432</v>
      </c>
      <c r="D521" s="4" t="s">
        <v>1433</v>
      </c>
      <c r="E521" s="4"/>
      <c r="F521" s="16"/>
      <c r="G521" s="5" t="s">
        <v>13</v>
      </c>
      <c r="H521" s="5" t="s">
        <v>234</v>
      </c>
      <c r="I521" s="42">
        <v>2500161</v>
      </c>
      <c r="J521" s="7">
        <v>45673</v>
      </c>
      <c r="K521" s="7">
        <f>J521+720</f>
        <v>46393</v>
      </c>
      <c r="L521" s="17" t="s">
        <v>1257</v>
      </c>
    </row>
    <row r="522" spans="1:13" s="15" customFormat="1" ht="18" customHeight="1" x14ac:dyDescent="0.2">
      <c r="A522" s="3" t="s">
        <v>84</v>
      </c>
      <c r="B522" s="3" t="s">
        <v>1077</v>
      </c>
      <c r="C522" s="3" t="s">
        <v>46</v>
      </c>
      <c r="D522" s="4" t="s">
        <v>569</v>
      </c>
      <c r="E522" s="4" t="s">
        <v>569</v>
      </c>
      <c r="F522" s="16" t="s">
        <v>13</v>
      </c>
      <c r="G522" s="5" t="s">
        <v>455</v>
      </c>
      <c r="H522" s="5" t="s">
        <v>16</v>
      </c>
      <c r="I522" s="6" t="s">
        <v>521</v>
      </c>
      <c r="J522" s="7">
        <v>44084</v>
      </c>
      <c r="K522" s="7">
        <f t="shared" ref="K522:K553" si="31">J522+720</f>
        <v>44804</v>
      </c>
      <c r="L522" s="17" t="s">
        <v>99</v>
      </c>
      <c r="M522" s="13"/>
    </row>
    <row r="523" spans="1:13" s="15" customFormat="1" ht="18" customHeight="1" x14ac:dyDescent="0.2">
      <c r="A523" s="3" t="s">
        <v>84</v>
      </c>
      <c r="B523" s="3" t="s">
        <v>1077</v>
      </c>
      <c r="C523" s="3" t="s">
        <v>46</v>
      </c>
      <c r="D523" s="4" t="s">
        <v>457</v>
      </c>
      <c r="E523" s="4" t="s">
        <v>457</v>
      </c>
      <c r="F523" s="16" t="s">
        <v>13</v>
      </c>
      <c r="G523" s="5" t="s">
        <v>455</v>
      </c>
      <c r="H523" s="5" t="s">
        <v>16</v>
      </c>
      <c r="I523" s="6" t="s">
        <v>458</v>
      </c>
      <c r="J523" s="7">
        <v>44027</v>
      </c>
      <c r="K523" s="7">
        <f t="shared" si="31"/>
        <v>44747</v>
      </c>
      <c r="L523" s="17" t="s">
        <v>99</v>
      </c>
      <c r="M523" s="13"/>
    </row>
    <row r="524" spans="1:13" s="15" customFormat="1" ht="18" customHeight="1" x14ac:dyDescent="0.2">
      <c r="A524" s="3" t="s">
        <v>84</v>
      </c>
      <c r="B524" s="3" t="s">
        <v>1077</v>
      </c>
      <c r="C524" s="3" t="s">
        <v>46</v>
      </c>
      <c r="D524" s="4" t="s">
        <v>459</v>
      </c>
      <c r="E524" s="4" t="s">
        <v>459</v>
      </c>
      <c r="F524" s="16" t="s">
        <v>13</v>
      </c>
      <c r="G524" s="5" t="s">
        <v>455</v>
      </c>
      <c r="H524" s="5" t="s">
        <v>16</v>
      </c>
      <c r="I524" s="6" t="s">
        <v>460</v>
      </c>
      <c r="J524" s="7">
        <v>44027</v>
      </c>
      <c r="K524" s="7">
        <f t="shared" si="31"/>
        <v>44747</v>
      </c>
      <c r="L524" s="17" t="s">
        <v>99</v>
      </c>
      <c r="M524" s="13"/>
    </row>
    <row r="525" spans="1:13" s="15" customFormat="1" ht="18" customHeight="1" x14ac:dyDescent="0.2">
      <c r="A525" s="3" t="s">
        <v>84</v>
      </c>
      <c r="B525" s="3" t="s">
        <v>1077</v>
      </c>
      <c r="C525" s="3" t="s">
        <v>46</v>
      </c>
      <c r="D525" s="4" t="s">
        <v>461</v>
      </c>
      <c r="E525" s="4" t="s">
        <v>461</v>
      </c>
      <c r="F525" s="16" t="s">
        <v>13</v>
      </c>
      <c r="G525" s="5" t="s">
        <v>455</v>
      </c>
      <c r="H525" s="5" t="s">
        <v>16</v>
      </c>
      <c r="I525" s="6" t="s">
        <v>462</v>
      </c>
      <c r="J525" s="7">
        <v>44027</v>
      </c>
      <c r="K525" s="7">
        <f t="shared" si="31"/>
        <v>44747</v>
      </c>
      <c r="L525" s="17" t="s">
        <v>99</v>
      </c>
      <c r="M525" s="13"/>
    </row>
    <row r="526" spans="1:13" s="15" customFormat="1" ht="18" customHeight="1" x14ac:dyDescent="0.2">
      <c r="A526" s="3" t="s">
        <v>84</v>
      </c>
      <c r="B526" s="3" t="s">
        <v>1077</v>
      </c>
      <c r="C526" s="3" t="s">
        <v>46</v>
      </c>
      <c r="D526" s="4" t="s">
        <v>463</v>
      </c>
      <c r="E526" s="4" t="s">
        <v>463</v>
      </c>
      <c r="F526" s="16" t="s">
        <v>13</v>
      </c>
      <c r="G526" s="5" t="s">
        <v>455</v>
      </c>
      <c r="H526" s="5" t="s">
        <v>16</v>
      </c>
      <c r="I526" s="6" t="s">
        <v>464</v>
      </c>
      <c r="J526" s="7">
        <v>44027</v>
      </c>
      <c r="K526" s="7">
        <f t="shared" si="31"/>
        <v>44747</v>
      </c>
      <c r="L526" s="17" t="s">
        <v>99</v>
      </c>
      <c r="M526" s="13"/>
    </row>
    <row r="527" spans="1:13" s="15" customFormat="1" ht="18" customHeight="1" x14ac:dyDescent="0.2">
      <c r="A527" s="3" t="s">
        <v>84</v>
      </c>
      <c r="B527" s="3" t="s">
        <v>1077</v>
      </c>
      <c r="C527" s="3" t="s">
        <v>46</v>
      </c>
      <c r="D527" s="4" t="s">
        <v>465</v>
      </c>
      <c r="E527" s="4" t="s">
        <v>465</v>
      </c>
      <c r="F527" s="16" t="s">
        <v>13</v>
      </c>
      <c r="G527" s="5" t="s">
        <v>455</v>
      </c>
      <c r="H527" s="5" t="s">
        <v>16</v>
      </c>
      <c r="I527" s="6" t="s">
        <v>466</v>
      </c>
      <c r="J527" s="7">
        <v>44027</v>
      </c>
      <c r="K527" s="7">
        <f t="shared" si="31"/>
        <v>44747</v>
      </c>
      <c r="L527" s="17" t="s">
        <v>99</v>
      </c>
      <c r="M527" s="13"/>
    </row>
    <row r="528" spans="1:13" s="13" customFormat="1" ht="18" customHeight="1" x14ac:dyDescent="0.2">
      <c r="A528" s="3" t="s">
        <v>84</v>
      </c>
      <c r="B528" s="3" t="s">
        <v>1077</v>
      </c>
      <c r="C528" s="3" t="s">
        <v>46</v>
      </c>
      <c r="D528" s="4" t="s">
        <v>467</v>
      </c>
      <c r="E528" s="4" t="s">
        <v>467</v>
      </c>
      <c r="F528" s="16" t="s">
        <v>13</v>
      </c>
      <c r="G528" s="5" t="s">
        <v>455</v>
      </c>
      <c r="H528" s="5" t="s">
        <v>16</v>
      </c>
      <c r="I528" s="6" t="s">
        <v>468</v>
      </c>
      <c r="J528" s="7">
        <v>44027</v>
      </c>
      <c r="K528" s="7">
        <f t="shared" si="31"/>
        <v>44747</v>
      </c>
      <c r="L528" s="17" t="s">
        <v>99</v>
      </c>
    </row>
    <row r="529" spans="1:12" s="13" customFormat="1" ht="18" customHeight="1" x14ac:dyDescent="0.2">
      <c r="A529" s="3" t="s">
        <v>84</v>
      </c>
      <c r="B529" s="3" t="s">
        <v>1077</v>
      </c>
      <c r="C529" s="3" t="s">
        <v>46</v>
      </c>
      <c r="D529" s="4" t="s">
        <v>469</v>
      </c>
      <c r="E529" s="4" t="s">
        <v>469</v>
      </c>
      <c r="F529" s="16" t="s">
        <v>13</v>
      </c>
      <c r="G529" s="5" t="s">
        <v>455</v>
      </c>
      <c r="H529" s="5" t="s">
        <v>16</v>
      </c>
      <c r="I529" s="6" t="s">
        <v>470</v>
      </c>
      <c r="J529" s="7">
        <v>44027</v>
      </c>
      <c r="K529" s="7">
        <f t="shared" si="31"/>
        <v>44747</v>
      </c>
      <c r="L529" s="17" t="s">
        <v>99</v>
      </c>
    </row>
    <row r="530" spans="1:12" s="13" customFormat="1" ht="18" customHeight="1" x14ac:dyDescent="0.2">
      <c r="A530" s="3" t="s">
        <v>84</v>
      </c>
      <c r="B530" s="37" t="s">
        <v>1080</v>
      </c>
      <c r="C530" s="3" t="s">
        <v>1079</v>
      </c>
      <c r="D530" s="4" t="s">
        <v>562</v>
      </c>
      <c r="E530" s="4" t="s">
        <v>562</v>
      </c>
      <c r="F530" s="16" t="s">
        <v>13</v>
      </c>
      <c r="G530" s="5" t="s">
        <v>518</v>
      </c>
      <c r="H530" s="5" t="s">
        <v>16</v>
      </c>
      <c r="I530" s="6" t="s">
        <v>519</v>
      </c>
      <c r="J530" s="7">
        <v>44084</v>
      </c>
      <c r="K530" s="7">
        <f t="shared" si="31"/>
        <v>44804</v>
      </c>
      <c r="L530" s="17" t="s">
        <v>99</v>
      </c>
    </row>
    <row r="531" spans="1:12" s="13" customFormat="1" ht="18" customHeight="1" x14ac:dyDescent="0.2">
      <c r="A531" s="3" t="s">
        <v>84</v>
      </c>
      <c r="B531" s="3" t="s">
        <v>1077</v>
      </c>
      <c r="C531" s="3" t="s">
        <v>41</v>
      </c>
      <c r="D531" s="4" t="s">
        <v>563</v>
      </c>
      <c r="E531" s="4" t="s">
        <v>563</v>
      </c>
      <c r="F531" s="16" t="s">
        <v>13</v>
      </c>
      <c r="G531" s="5" t="s">
        <v>520</v>
      </c>
      <c r="H531" s="5" t="s">
        <v>16</v>
      </c>
      <c r="I531" s="6" t="s">
        <v>522</v>
      </c>
      <c r="J531" s="7">
        <v>44084</v>
      </c>
      <c r="K531" s="7">
        <f t="shared" si="31"/>
        <v>44804</v>
      </c>
      <c r="L531" s="17" t="s">
        <v>99</v>
      </c>
    </row>
    <row r="532" spans="1:12" s="13" customFormat="1" ht="18" customHeight="1" x14ac:dyDescent="0.2">
      <c r="A532" s="3" t="s">
        <v>84</v>
      </c>
      <c r="B532" s="37" t="s">
        <v>1080</v>
      </c>
      <c r="C532" s="3" t="s">
        <v>41</v>
      </c>
      <c r="D532" s="4" t="s">
        <v>564</v>
      </c>
      <c r="E532" s="4" t="s">
        <v>564</v>
      </c>
      <c r="F532" s="16" t="s">
        <v>13</v>
      </c>
      <c r="G532" s="5" t="s">
        <v>449</v>
      </c>
      <c r="H532" s="5" t="s">
        <v>16</v>
      </c>
      <c r="I532" s="6" t="s">
        <v>450</v>
      </c>
      <c r="J532" s="7">
        <v>44027</v>
      </c>
      <c r="K532" s="7">
        <f t="shared" si="31"/>
        <v>44747</v>
      </c>
      <c r="L532" s="17" t="s">
        <v>99</v>
      </c>
    </row>
    <row r="533" spans="1:12" s="13" customFormat="1" ht="18" customHeight="1" x14ac:dyDescent="0.2">
      <c r="A533" s="3" t="s">
        <v>84</v>
      </c>
      <c r="B533" s="37" t="s">
        <v>1080</v>
      </c>
      <c r="C533" s="3" t="s">
        <v>41</v>
      </c>
      <c r="D533" s="4" t="s">
        <v>565</v>
      </c>
      <c r="E533" s="4" t="s">
        <v>565</v>
      </c>
      <c r="F533" s="16" t="s">
        <v>13</v>
      </c>
      <c r="G533" s="5" t="s">
        <v>449</v>
      </c>
      <c r="H533" s="5" t="s">
        <v>16</v>
      </c>
      <c r="I533" s="6" t="s">
        <v>451</v>
      </c>
      <c r="J533" s="7">
        <v>44392</v>
      </c>
      <c r="K533" s="7">
        <f t="shared" si="31"/>
        <v>45112</v>
      </c>
      <c r="L533" s="17" t="s">
        <v>99</v>
      </c>
    </row>
    <row r="534" spans="1:12" s="13" customFormat="1" ht="18" customHeight="1" x14ac:dyDescent="0.2">
      <c r="A534" s="3" t="s">
        <v>84</v>
      </c>
      <c r="B534" s="37" t="s">
        <v>1080</v>
      </c>
      <c r="C534" s="3" t="s">
        <v>41</v>
      </c>
      <c r="D534" s="4" t="s">
        <v>566</v>
      </c>
      <c r="E534" s="4" t="s">
        <v>566</v>
      </c>
      <c r="F534" s="16" t="s">
        <v>13</v>
      </c>
      <c r="G534" s="5" t="s">
        <v>449</v>
      </c>
      <c r="H534" s="5" t="s">
        <v>16</v>
      </c>
      <c r="I534" s="6" t="s">
        <v>452</v>
      </c>
      <c r="J534" s="7">
        <v>44027</v>
      </c>
      <c r="K534" s="7">
        <f t="shared" si="31"/>
        <v>44747</v>
      </c>
      <c r="L534" s="17" t="s">
        <v>99</v>
      </c>
    </row>
    <row r="535" spans="1:12" s="13" customFormat="1" ht="18" customHeight="1" x14ac:dyDescent="0.2">
      <c r="A535" s="3" t="s">
        <v>84</v>
      </c>
      <c r="B535" s="37" t="s">
        <v>1080</v>
      </c>
      <c r="C535" s="3" t="s">
        <v>41</v>
      </c>
      <c r="D535" s="4" t="s">
        <v>567</v>
      </c>
      <c r="E535" s="4" t="s">
        <v>567</v>
      </c>
      <c r="F535" s="16" t="s">
        <v>13</v>
      </c>
      <c r="G535" s="5" t="s">
        <v>449</v>
      </c>
      <c r="H535" s="5" t="s">
        <v>16</v>
      </c>
      <c r="I535" s="6" t="s">
        <v>453</v>
      </c>
      <c r="J535" s="7">
        <v>44027</v>
      </c>
      <c r="K535" s="7">
        <f t="shared" si="31"/>
        <v>44747</v>
      </c>
      <c r="L535" s="17" t="s">
        <v>99</v>
      </c>
    </row>
    <row r="536" spans="1:12" s="13" customFormat="1" ht="18" customHeight="1" x14ac:dyDescent="0.2">
      <c r="A536" s="3" t="s">
        <v>84</v>
      </c>
      <c r="B536" s="37" t="s">
        <v>1080</v>
      </c>
      <c r="C536" s="3" t="s">
        <v>41</v>
      </c>
      <c r="D536" s="4" t="s">
        <v>568</v>
      </c>
      <c r="E536" s="4" t="s">
        <v>568</v>
      </c>
      <c r="F536" s="16" t="s">
        <v>13</v>
      </c>
      <c r="G536" s="5" t="s">
        <v>449</v>
      </c>
      <c r="H536" s="5" t="s">
        <v>16</v>
      </c>
      <c r="I536" s="6" t="s">
        <v>454</v>
      </c>
      <c r="J536" s="7">
        <v>44027</v>
      </c>
      <c r="K536" s="7">
        <f t="shared" si="31"/>
        <v>44747</v>
      </c>
      <c r="L536" s="17" t="s">
        <v>99</v>
      </c>
    </row>
    <row r="537" spans="1:12" s="13" customFormat="1" ht="18" customHeight="1" x14ac:dyDescent="0.2">
      <c r="A537" s="3" t="s">
        <v>84</v>
      </c>
      <c r="B537" s="3" t="s">
        <v>1077</v>
      </c>
      <c r="C537" s="3" t="s">
        <v>46</v>
      </c>
      <c r="D537" s="4" t="s">
        <v>570</v>
      </c>
      <c r="E537" s="4" t="s">
        <v>570</v>
      </c>
      <c r="F537" s="16" t="s">
        <v>13</v>
      </c>
      <c r="G537" s="5" t="s">
        <v>455</v>
      </c>
      <c r="H537" s="5" t="s">
        <v>16</v>
      </c>
      <c r="I537" s="6" t="s">
        <v>456</v>
      </c>
      <c r="J537" s="7">
        <v>44027</v>
      </c>
      <c r="K537" s="7">
        <f t="shared" si="31"/>
        <v>44747</v>
      </c>
      <c r="L537" s="17" t="s">
        <v>99</v>
      </c>
    </row>
    <row r="538" spans="1:12" s="13" customFormat="1" ht="18" customHeight="1" x14ac:dyDescent="0.2">
      <c r="A538" s="3" t="s">
        <v>84</v>
      </c>
      <c r="B538" s="3" t="s">
        <v>1075</v>
      </c>
      <c r="C538" s="3" t="s">
        <v>41</v>
      </c>
      <c r="D538" s="4" t="s">
        <v>1058</v>
      </c>
      <c r="E538" s="4" t="s">
        <v>1058</v>
      </c>
      <c r="F538" s="16" t="s">
        <v>13</v>
      </c>
      <c r="G538" s="5" t="s">
        <v>721</v>
      </c>
      <c r="H538" s="5" t="s">
        <v>16</v>
      </c>
      <c r="I538" s="6" t="s">
        <v>1059</v>
      </c>
      <c r="J538" s="7">
        <v>44358</v>
      </c>
      <c r="K538" s="7">
        <f t="shared" si="31"/>
        <v>45078</v>
      </c>
      <c r="L538" s="17" t="s">
        <v>99</v>
      </c>
    </row>
    <row r="539" spans="1:12" s="13" customFormat="1" ht="18" customHeight="1" x14ac:dyDescent="0.2">
      <c r="A539" s="3" t="s">
        <v>84</v>
      </c>
      <c r="B539" s="3" t="s">
        <v>1075</v>
      </c>
      <c r="C539" s="3" t="s">
        <v>41</v>
      </c>
      <c r="D539" s="4" t="s">
        <v>904</v>
      </c>
      <c r="E539" s="4" t="s">
        <v>904</v>
      </c>
      <c r="F539" s="16" t="s">
        <v>13</v>
      </c>
      <c r="G539" s="5" t="s">
        <v>721</v>
      </c>
      <c r="H539" s="5" t="s">
        <v>163</v>
      </c>
      <c r="I539" s="6">
        <v>2212875</v>
      </c>
      <c r="J539" s="7">
        <v>44720</v>
      </c>
      <c r="K539" s="7">
        <f t="shared" si="31"/>
        <v>45440</v>
      </c>
      <c r="L539" s="17" t="s">
        <v>99</v>
      </c>
    </row>
    <row r="540" spans="1:12" s="13" customFormat="1" ht="18" customHeight="1" x14ac:dyDescent="0.2">
      <c r="A540" s="3" t="s">
        <v>84</v>
      </c>
      <c r="B540" s="3" t="s">
        <v>1077</v>
      </c>
      <c r="C540" s="3" t="s">
        <v>41</v>
      </c>
      <c r="D540" s="4" t="s">
        <v>906</v>
      </c>
      <c r="E540" s="4" t="s">
        <v>906</v>
      </c>
      <c r="F540" s="16" t="s">
        <v>13</v>
      </c>
      <c r="G540" s="5" t="s">
        <v>276</v>
      </c>
      <c r="H540" s="5" t="s">
        <v>163</v>
      </c>
      <c r="I540" s="6">
        <v>2215140</v>
      </c>
      <c r="J540" s="7">
        <v>44749</v>
      </c>
      <c r="K540" s="7">
        <f t="shared" si="31"/>
        <v>45469</v>
      </c>
      <c r="L540" s="17" t="s">
        <v>99</v>
      </c>
    </row>
    <row r="541" spans="1:12" s="13" customFormat="1" ht="18" customHeight="1" x14ac:dyDescent="0.2">
      <c r="A541" s="3" t="s">
        <v>84</v>
      </c>
      <c r="B541" s="3" t="s">
        <v>1075</v>
      </c>
      <c r="C541" s="3" t="s">
        <v>41</v>
      </c>
      <c r="D541" s="4" t="s">
        <v>905</v>
      </c>
      <c r="E541" s="4" t="s">
        <v>905</v>
      </c>
      <c r="F541" s="16" t="s">
        <v>13</v>
      </c>
      <c r="G541" s="5" t="s">
        <v>721</v>
      </c>
      <c r="H541" s="5" t="s">
        <v>163</v>
      </c>
      <c r="I541" s="6">
        <v>2212876</v>
      </c>
      <c r="J541" s="7">
        <v>44720</v>
      </c>
      <c r="K541" s="7">
        <f t="shared" si="31"/>
        <v>45440</v>
      </c>
      <c r="L541" s="17" t="s">
        <v>99</v>
      </c>
    </row>
    <row r="542" spans="1:12" s="13" customFormat="1" ht="18" customHeight="1" x14ac:dyDescent="0.2">
      <c r="A542" s="3" t="s">
        <v>84</v>
      </c>
      <c r="B542" s="3" t="s">
        <v>1077</v>
      </c>
      <c r="C542" s="3" t="s">
        <v>41</v>
      </c>
      <c r="D542" s="4" t="s">
        <v>911</v>
      </c>
      <c r="E542" s="4" t="s">
        <v>911</v>
      </c>
      <c r="F542" s="16" t="s">
        <v>13</v>
      </c>
      <c r="G542" s="5" t="s">
        <v>276</v>
      </c>
      <c r="H542" s="5" t="s">
        <v>163</v>
      </c>
      <c r="I542" s="6">
        <v>2215144</v>
      </c>
      <c r="J542" s="7">
        <v>44749</v>
      </c>
      <c r="K542" s="7">
        <f t="shared" si="31"/>
        <v>45469</v>
      </c>
      <c r="L542" s="17" t="s">
        <v>99</v>
      </c>
    </row>
    <row r="543" spans="1:12" s="13" customFormat="1" ht="18" customHeight="1" x14ac:dyDescent="0.2">
      <c r="A543" s="3" t="s">
        <v>84</v>
      </c>
      <c r="B543" s="37" t="s">
        <v>1080</v>
      </c>
      <c r="C543" s="3" t="s">
        <v>41</v>
      </c>
      <c r="D543" s="4" t="s">
        <v>913</v>
      </c>
      <c r="E543" s="4" t="s">
        <v>913</v>
      </c>
      <c r="F543" s="16" t="s">
        <v>13</v>
      </c>
      <c r="G543" s="5" t="s">
        <v>449</v>
      </c>
      <c r="H543" s="5" t="s">
        <v>163</v>
      </c>
      <c r="I543" s="6">
        <v>2215146</v>
      </c>
      <c r="J543" s="7">
        <v>44749</v>
      </c>
      <c r="K543" s="7">
        <f t="shared" si="31"/>
        <v>45469</v>
      </c>
      <c r="L543" s="17" t="s">
        <v>99</v>
      </c>
    </row>
    <row r="544" spans="1:12" s="13" customFormat="1" ht="18" customHeight="1" x14ac:dyDescent="0.2">
      <c r="A544" s="3" t="s">
        <v>84</v>
      </c>
      <c r="B544" s="37" t="s">
        <v>1080</v>
      </c>
      <c r="C544" s="3" t="s">
        <v>41</v>
      </c>
      <c r="D544" s="4" t="s">
        <v>914</v>
      </c>
      <c r="E544" s="4" t="s">
        <v>914</v>
      </c>
      <c r="F544" s="16" t="s">
        <v>13</v>
      </c>
      <c r="G544" s="5" t="s">
        <v>449</v>
      </c>
      <c r="H544" s="5" t="s">
        <v>163</v>
      </c>
      <c r="I544" s="6">
        <v>2215147</v>
      </c>
      <c r="J544" s="7">
        <v>44749</v>
      </c>
      <c r="K544" s="7">
        <f t="shared" si="31"/>
        <v>45469</v>
      </c>
      <c r="L544" s="17" t="s">
        <v>99</v>
      </c>
    </row>
    <row r="545" spans="1:13" s="13" customFormat="1" ht="18" customHeight="1" x14ac:dyDescent="0.2">
      <c r="A545" s="3" t="s">
        <v>84</v>
      </c>
      <c r="B545" s="37" t="s">
        <v>1080</v>
      </c>
      <c r="C545" s="3" t="s">
        <v>41</v>
      </c>
      <c r="D545" s="4" t="s">
        <v>915</v>
      </c>
      <c r="E545" s="4" t="s">
        <v>915</v>
      </c>
      <c r="F545" s="16" t="s">
        <v>13</v>
      </c>
      <c r="G545" s="5" t="s">
        <v>449</v>
      </c>
      <c r="H545" s="5" t="s">
        <v>163</v>
      </c>
      <c r="I545" s="6">
        <v>2215148</v>
      </c>
      <c r="J545" s="7">
        <v>44749</v>
      </c>
      <c r="K545" s="7">
        <f t="shared" si="31"/>
        <v>45469</v>
      </c>
      <c r="L545" s="17" t="s">
        <v>99</v>
      </c>
    </row>
    <row r="546" spans="1:13" s="13" customFormat="1" ht="18" customHeight="1" x14ac:dyDescent="0.2">
      <c r="A546" s="3" t="s">
        <v>84</v>
      </c>
      <c r="B546" s="37" t="s">
        <v>1080</v>
      </c>
      <c r="C546" s="3" t="s">
        <v>41</v>
      </c>
      <c r="D546" s="4" t="s">
        <v>916</v>
      </c>
      <c r="E546" s="4" t="s">
        <v>916</v>
      </c>
      <c r="F546" s="16" t="s">
        <v>13</v>
      </c>
      <c r="G546" s="5" t="s">
        <v>449</v>
      </c>
      <c r="H546" s="5" t="s">
        <v>163</v>
      </c>
      <c r="I546" s="6">
        <v>2215149</v>
      </c>
      <c r="J546" s="7">
        <v>44749</v>
      </c>
      <c r="K546" s="7">
        <f t="shared" si="31"/>
        <v>45469</v>
      </c>
      <c r="L546" s="17" t="s">
        <v>99</v>
      </c>
    </row>
    <row r="547" spans="1:13" s="13" customFormat="1" ht="18" customHeight="1" x14ac:dyDescent="0.2">
      <c r="A547" s="3" t="s">
        <v>84</v>
      </c>
      <c r="B547" s="37" t="s">
        <v>1080</v>
      </c>
      <c r="C547" s="3" t="s">
        <v>41</v>
      </c>
      <c r="D547" s="4" t="s">
        <v>917</v>
      </c>
      <c r="E547" s="4" t="s">
        <v>917</v>
      </c>
      <c r="F547" s="16" t="s">
        <v>13</v>
      </c>
      <c r="G547" s="5" t="s">
        <v>449</v>
      </c>
      <c r="H547" s="5" t="s">
        <v>163</v>
      </c>
      <c r="I547" s="6">
        <v>2215150</v>
      </c>
      <c r="J547" s="7">
        <v>44749</v>
      </c>
      <c r="K547" s="7">
        <f t="shared" si="31"/>
        <v>45469</v>
      </c>
      <c r="L547" s="17" t="s">
        <v>99</v>
      </c>
    </row>
    <row r="548" spans="1:13" s="13" customFormat="1" ht="18" customHeight="1" x14ac:dyDescent="0.2">
      <c r="A548" s="3" t="s">
        <v>84</v>
      </c>
      <c r="B548" s="37" t="s">
        <v>1080</v>
      </c>
      <c r="C548" s="3" t="s">
        <v>41</v>
      </c>
      <c r="D548" s="4" t="s">
        <v>908</v>
      </c>
      <c r="E548" s="4" t="s">
        <v>908</v>
      </c>
      <c r="F548" s="16" t="s">
        <v>13</v>
      </c>
      <c r="G548" s="5" t="s">
        <v>449</v>
      </c>
      <c r="H548" s="5" t="s">
        <v>163</v>
      </c>
      <c r="I548" s="6">
        <v>2215151</v>
      </c>
      <c r="J548" s="7">
        <v>44749</v>
      </c>
      <c r="K548" s="7">
        <f t="shared" si="31"/>
        <v>45469</v>
      </c>
      <c r="L548" s="17" t="s">
        <v>99</v>
      </c>
    </row>
    <row r="549" spans="1:13" s="13" customFormat="1" ht="18" customHeight="1" x14ac:dyDescent="0.2">
      <c r="A549" s="3" t="s">
        <v>84</v>
      </c>
      <c r="B549" s="3" t="s">
        <v>1078</v>
      </c>
      <c r="C549" s="3" t="s">
        <v>41</v>
      </c>
      <c r="D549" s="4" t="s">
        <v>365</v>
      </c>
      <c r="E549" s="4" t="s">
        <v>365</v>
      </c>
      <c r="F549" s="16" t="s">
        <v>13</v>
      </c>
      <c r="G549" s="5" t="s">
        <v>305</v>
      </c>
      <c r="H549" s="5" t="s">
        <v>163</v>
      </c>
      <c r="I549" s="6">
        <v>2217125</v>
      </c>
      <c r="J549" s="7">
        <v>44777</v>
      </c>
      <c r="K549" s="7">
        <f t="shared" si="31"/>
        <v>45497</v>
      </c>
      <c r="L549" s="17" t="s">
        <v>99</v>
      </c>
    </row>
    <row r="550" spans="1:13" s="13" customFormat="1" ht="18" customHeight="1" x14ac:dyDescent="0.2">
      <c r="A550" s="3" t="s">
        <v>84</v>
      </c>
      <c r="B550" s="3" t="s">
        <v>1077</v>
      </c>
      <c r="C550" s="3" t="s">
        <v>46</v>
      </c>
      <c r="D550" s="4" t="s">
        <v>501</v>
      </c>
      <c r="E550" s="4" t="s">
        <v>501</v>
      </c>
      <c r="F550" s="16" t="s">
        <v>13</v>
      </c>
      <c r="G550" s="5" t="s">
        <v>455</v>
      </c>
      <c r="H550" s="5" t="s">
        <v>171</v>
      </c>
      <c r="I550" s="6">
        <v>2004432</v>
      </c>
      <c r="J550" s="7">
        <v>44041</v>
      </c>
      <c r="K550" s="7">
        <f t="shared" si="31"/>
        <v>44761</v>
      </c>
      <c r="L550" s="17" t="s">
        <v>99</v>
      </c>
    </row>
    <row r="551" spans="1:13" s="13" customFormat="1" ht="18" customHeight="1" x14ac:dyDescent="0.2">
      <c r="A551" s="3" t="s">
        <v>84</v>
      </c>
      <c r="B551" s="3" t="s">
        <v>1077</v>
      </c>
      <c r="C551" s="3" t="s">
        <v>46</v>
      </c>
      <c r="D551" s="4" t="s">
        <v>502</v>
      </c>
      <c r="E551" s="4" t="s">
        <v>502</v>
      </c>
      <c r="F551" s="16" t="s">
        <v>13</v>
      </c>
      <c r="G551" s="5" t="s">
        <v>455</v>
      </c>
      <c r="H551" s="5" t="s">
        <v>171</v>
      </c>
      <c r="I551" s="6">
        <v>2004433</v>
      </c>
      <c r="J551" s="7">
        <v>44041</v>
      </c>
      <c r="K551" s="7">
        <f t="shared" si="31"/>
        <v>44761</v>
      </c>
      <c r="L551" s="17" t="s">
        <v>99</v>
      </c>
    </row>
    <row r="552" spans="1:13" s="13" customFormat="1" ht="18" customHeight="1" x14ac:dyDescent="0.2">
      <c r="A552" s="3" t="s">
        <v>84</v>
      </c>
      <c r="B552" s="3" t="s">
        <v>1077</v>
      </c>
      <c r="C552" s="3" t="s">
        <v>46</v>
      </c>
      <c r="D552" s="4" t="s">
        <v>503</v>
      </c>
      <c r="E552" s="4" t="s">
        <v>503</v>
      </c>
      <c r="F552" s="16" t="s">
        <v>13</v>
      </c>
      <c r="G552" s="5" t="s">
        <v>455</v>
      </c>
      <c r="H552" s="5" t="s">
        <v>171</v>
      </c>
      <c r="I552" s="6">
        <v>2004434</v>
      </c>
      <c r="J552" s="7">
        <v>44041</v>
      </c>
      <c r="K552" s="7">
        <f t="shared" si="31"/>
        <v>44761</v>
      </c>
      <c r="L552" s="17" t="s">
        <v>99</v>
      </c>
    </row>
    <row r="553" spans="1:13" s="13" customFormat="1" ht="18" customHeight="1" x14ac:dyDescent="0.2">
      <c r="A553" s="3" t="s">
        <v>84</v>
      </c>
      <c r="B553" s="3" t="s">
        <v>1077</v>
      </c>
      <c r="C553" s="3" t="s">
        <v>46</v>
      </c>
      <c r="D553" s="4" t="s">
        <v>504</v>
      </c>
      <c r="E553" s="4" t="s">
        <v>504</v>
      </c>
      <c r="F553" s="16" t="s">
        <v>13</v>
      </c>
      <c r="G553" s="5" t="s">
        <v>455</v>
      </c>
      <c r="H553" s="5" t="s">
        <v>171</v>
      </c>
      <c r="I553" s="6">
        <v>2004435</v>
      </c>
      <c r="J553" s="7">
        <v>44041</v>
      </c>
      <c r="K553" s="7">
        <f t="shared" si="31"/>
        <v>44761</v>
      </c>
      <c r="L553" s="17" t="s">
        <v>99</v>
      </c>
    </row>
    <row r="554" spans="1:13" s="13" customFormat="1" ht="18" customHeight="1" x14ac:dyDescent="0.2">
      <c r="A554" s="3" t="s">
        <v>84</v>
      </c>
      <c r="B554" s="37" t="s">
        <v>1080</v>
      </c>
      <c r="C554" s="3" t="s">
        <v>41</v>
      </c>
      <c r="D554" s="4" t="s">
        <v>497</v>
      </c>
      <c r="E554" s="4" t="s">
        <v>497</v>
      </c>
      <c r="F554" s="16" t="s">
        <v>13</v>
      </c>
      <c r="G554" s="5" t="s">
        <v>449</v>
      </c>
      <c r="H554" s="5" t="s">
        <v>171</v>
      </c>
      <c r="I554" s="6">
        <v>2004436</v>
      </c>
      <c r="J554" s="7">
        <v>44041</v>
      </c>
      <c r="K554" s="7">
        <f t="shared" ref="K554:K585" si="32">J554+720</f>
        <v>44761</v>
      </c>
      <c r="L554" s="17" t="s">
        <v>99</v>
      </c>
    </row>
    <row r="555" spans="1:13" s="13" customFormat="1" ht="18" customHeight="1" x14ac:dyDescent="0.2">
      <c r="A555" s="3" t="s">
        <v>84</v>
      </c>
      <c r="B555" s="37" t="s">
        <v>1080</v>
      </c>
      <c r="C555" s="3" t="s">
        <v>41</v>
      </c>
      <c r="D555" s="4" t="s">
        <v>498</v>
      </c>
      <c r="E555" s="4" t="s">
        <v>498</v>
      </c>
      <c r="F555" s="16" t="s">
        <v>13</v>
      </c>
      <c r="G555" s="5" t="s">
        <v>449</v>
      </c>
      <c r="H555" s="5" t="s">
        <v>171</v>
      </c>
      <c r="I555" s="6">
        <v>2004437</v>
      </c>
      <c r="J555" s="7">
        <v>44041</v>
      </c>
      <c r="K555" s="7">
        <f t="shared" si="32"/>
        <v>44761</v>
      </c>
      <c r="L555" s="17" t="s">
        <v>99</v>
      </c>
    </row>
    <row r="556" spans="1:13" s="13" customFormat="1" ht="18" customHeight="1" x14ac:dyDescent="0.2">
      <c r="A556" s="3" t="s">
        <v>84</v>
      </c>
      <c r="B556" s="37" t="s">
        <v>1080</v>
      </c>
      <c r="C556" s="3" t="s">
        <v>41</v>
      </c>
      <c r="D556" s="4" t="s">
        <v>499</v>
      </c>
      <c r="E556" s="4" t="s">
        <v>499</v>
      </c>
      <c r="F556" s="16" t="s">
        <v>13</v>
      </c>
      <c r="G556" s="5" t="s">
        <v>449</v>
      </c>
      <c r="H556" s="5" t="s">
        <v>171</v>
      </c>
      <c r="I556" s="6">
        <v>2004438</v>
      </c>
      <c r="J556" s="7">
        <v>44041</v>
      </c>
      <c r="K556" s="7">
        <f t="shared" si="32"/>
        <v>44761</v>
      </c>
      <c r="L556" s="17" t="s">
        <v>99</v>
      </c>
    </row>
    <row r="557" spans="1:13" s="13" customFormat="1" ht="18" customHeight="1" x14ac:dyDescent="0.2">
      <c r="A557" s="3" t="s">
        <v>84</v>
      </c>
      <c r="B557" s="37" t="s">
        <v>1080</v>
      </c>
      <c r="C557" s="3" t="s">
        <v>41</v>
      </c>
      <c r="D557" s="4" t="s">
        <v>500</v>
      </c>
      <c r="E557" s="4" t="s">
        <v>500</v>
      </c>
      <c r="F557" s="16" t="s">
        <v>13</v>
      </c>
      <c r="G557" s="5" t="s">
        <v>449</v>
      </c>
      <c r="H557" s="5" t="s">
        <v>163</v>
      </c>
      <c r="I557" s="42">
        <v>2300720</v>
      </c>
      <c r="J557" s="7">
        <v>44949</v>
      </c>
      <c r="K557" s="7">
        <f t="shared" si="32"/>
        <v>45669</v>
      </c>
      <c r="L557" s="17" t="s">
        <v>1355</v>
      </c>
    </row>
    <row r="558" spans="1:13" s="13" customFormat="1" ht="18" customHeight="1" x14ac:dyDescent="0.2">
      <c r="A558" s="3" t="s">
        <v>84</v>
      </c>
      <c r="B558" s="3" t="s">
        <v>1077</v>
      </c>
      <c r="C558" s="3" t="s">
        <v>46</v>
      </c>
      <c r="D558" s="4" t="s">
        <v>711</v>
      </c>
      <c r="E558" s="4" t="s">
        <v>711</v>
      </c>
      <c r="F558" s="16" t="s">
        <v>13</v>
      </c>
      <c r="G558" s="5" t="s">
        <v>455</v>
      </c>
      <c r="H558" s="5" t="s">
        <v>16</v>
      </c>
      <c r="I558" s="6" t="s">
        <v>715</v>
      </c>
      <c r="J558" s="7">
        <v>44335</v>
      </c>
      <c r="K558" s="7">
        <f t="shared" si="32"/>
        <v>45055</v>
      </c>
      <c r="L558" s="17" t="s">
        <v>99</v>
      </c>
    </row>
    <row r="559" spans="1:13" s="13" customFormat="1" ht="18" customHeight="1" x14ac:dyDescent="0.2">
      <c r="A559" s="3" t="s">
        <v>84</v>
      </c>
      <c r="B559" s="3" t="s">
        <v>1077</v>
      </c>
      <c r="C559" s="3" t="s">
        <v>46</v>
      </c>
      <c r="D559" s="4" t="s">
        <v>712</v>
      </c>
      <c r="E559" s="4" t="s">
        <v>712</v>
      </c>
      <c r="F559" s="16" t="s">
        <v>13</v>
      </c>
      <c r="G559" s="5" t="s">
        <v>455</v>
      </c>
      <c r="H559" s="5" t="s">
        <v>16</v>
      </c>
      <c r="I559" s="6" t="s">
        <v>716</v>
      </c>
      <c r="J559" s="7">
        <v>44335</v>
      </c>
      <c r="K559" s="7">
        <f t="shared" si="32"/>
        <v>45055</v>
      </c>
      <c r="L559" s="17" t="s">
        <v>99</v>
      </c>
    </row>
    <row r="560" spans="1:13" s="15" customFormat="1" ht="18" customHeight="1" x14ac:dyDescent="0.2">
      <c r="A560" s="3" t="s">
        <v>84</v>
      </c>
      <c r="B560" s="3" t="s">
        <v>1077</v>
      </c>
      <c r="C560" s="3" t="s">
        <v>46</v>
      </c>
      <c r="D560" s="4" t="s">
        <v>713</v>
      </c>
      <c r="E560" s="4" t="s">
        <v>713</v>
      </c>
      <c r="F560" s="16" t="s">
        <v>13</v>
      </c>
      <c r="G560" s="5" t="s">
        <v>455</v>
      </c>
      <c r="H560" s="5" t="s">
        <v>16</v>
      </c>
      <c r="I560" s="6" t="s">
        <v>717</v>
      </c>
      <c r="J560" s="7">
        <v>44335</v>
      </c>
      <c r="K560" s="7">
        <f t="shared" si="32"/>
        <v>45055</v>
      </c>
      <c r="L560" s="17" t="s">
        <v>99</v>
      </c>
      <c r="M560" s="13"/>
    </row>
    <row r="561" spans="1:13" s="13" customFormat="1" ht="18" customHeight="1" x14ac:dyDescent="0.2">
      <c r="A561" s="3" t="s">
        <v>84</v>
      </c>
      <c r="B561" s="3" t="s">
        <v>1077</v>
      </c>
      <c r="C561" s="3" t="s">
        <v>46</v>
      </c>
      <c r="D561" s="4" t="s">
        <v>714</v>
      </c>
      <c r="E561" s="4" t="s">
        <v>714</v>
      </c>
      <c r="F561" s="16" t="s">
        <v>13</v>
      </c>
      <c r="G561" s="5" t="s">
        <v>455</v>
      </c>
      <c r="H561" s="5" t="s">
        <v>16</v>
      </c>
      <c r="I561" s="6" t="s">
        <v>718</v>
      </c>
      <c r="J561" s="7">
        <v>44335</v>
      </c>
      <c r="K561" s="7">
        <f t="shared" si="32"/>
        <v>45055</v>
      </c>
      <c r="L561" s="17" t="s">
        <v>99</v>
      </c>
    </row>
    <row r="562" spans="1:13" s="13" customFormat="1" ht="18" customHeight="1" x14ac:dyDescent="0.2">
      <c r="A562" s="3" t="s">
        <v>84</v>
      </c>
      <c r="B562" s="3" t="s">
        <v>1078</v>
      </c>
      <c r="C562" s="3" t="s">
        <v>41</v>
      </c>
      <c r="D562" s="4" t="s">
        <v>622</v>
      </c>
      <c r="E562" s="4" t="s">
        <v>622</v>
      </c>
      <c r="F562" s="16" t="s">
        <v>13</v>
      </c>
      <c r="G562" s="5" t="s">
        <v>305</v>
      </c>
      <c r="H562" s="5" t="s">
        <v>163</v>
      </c>
      <c r="I562" s="6">
        <v>2212874</v>
      </c>
      <c r="J562" s="7">
        <v>44720</v>
      </c>
      <c r="K562" s="7">
        <f t="shared" si="32"/>
        <v>45440</v>
      </c>
      <c r="L562" s="17" t="s">
        <v>99</v>
      </c>
    </row>
    <row r="563" spans="1:13" s="13" customFormat="1" ht="18" customHeight="1" x14ac:dyDescent="0.2">
      <c r="A563" s="3" t="s">
        <v>1076</v>
      </c>
      <c r="B563" s="3" t="s">
        <v>1078</v>
      </c>
      <c r="C563" s="3" t="s">
        <v>121</v>
      </c>
      <c r="D563" s="4" t="s">
        <v>122</v>
      </c>
      <c r="E563" s="4" t="s">
        <v>122</v>
      </c>
      <c r="F563" s="16" t="s">
        <v>13</v>
      </c>
      <c r="G563" s="5">
        <v>13948</v>
      </c>
      <c r="H563" s="5" t="s">
        <v>67</v>
      </c>
      <c r="I563" s="6">
        <v>1800630</v>
      </c>
      <c r="J563" s="7">
        <v>43137</v>
      </c>
      <c r="K563" s="7">
        <f t="shared" si="32"/>
        <v>43857</v>
      </c>
      <c r="L563" s="17" t="s">
        <v>99</v>
      </c>
    </row>
    <row r="564" spans="1:13" s="13" customFormat="1" ht="18" customHeight="1" x14ac:dyDescent="0.2">
      <c r="A564" s="3" t="s">
        <v>1076</v>
      </c>
      <c r="B564" s="3" t="s">
        <v>1077</v>
      </c>
      <c r="C564" s="3" t="s">
        <v>41</v>
      </c>
      <c r="D564" s="4" t="s">
        <v>139</v>
      </c>
      <c r="E564" s="4" t="s">
        <v>139</v>
      </c>
      <c r="F564" s="16" t="s">
        <v>13</v>
      </c>
      <c r="G564" s="5" t="s">
        <v>42</v>
      </c>
      <c r="H564" s="5" t="s">
        <v>67</v>
      </c>
      <c r="I564" s="6">
        <v>1800625</v>
      </c>
      <c r="J564" s="7">
        <v>43138</v>
      </c>
      <c r="K564" s="7">
        <f t="shared" si="32"/>
        <v>43858</v>
      </c>
      <c r="L564" s="17" t="s">
        <v>99</v>
      </c>
    </row>
    <row r="565" spans="1:13" s="13" customFormat="1" ht="18" customHeight="1" x14ac:dyDescent="0.2">
      <c r="A565" s="3" t="s">
        <v>1076</v>
      </c>
      <c r="B565" s="3" t="s">
        <v>1077</v>
      </c>
      <c r="C565" s="3" t="s">
        <v>41</v>
      </c>
      <c r="D565" s="4" t="s">
        <v>138</v>
      </c>
      <c r="E565" s="4" t="s">
        <v>138</v>
      </c>
      <c r="F565" s="16" t="s">
        <v>13</v>
      </c>
      <c r="G565" s="5" t="s">
        <v>42</v>
      </c>
      <c r="H565" s="5" t="s">
        <v>67</v>
      </c>
      <c r="I565" s="6">
        <v>1800626</v>
      </c>
      <c r="J565" s="7">
        <v>43137</v>
      </c>
      <c r="K565" s="7">
        <f t="shared" si="32"/>
        <v>43857</v>
      </c>
      <c r="L565" s="17" t="s">
        <v>99</v>
      </c>
    </row>
    <row r="566" spans="1:13" s="13" customFormat="1" ht="18" customHeight="1" x14ac:dyDescent="0.2">
      <c r="A566" s="3" t="s">
        <v>1076</v>
      </c>
      <c r="B566" s="3" t="s">
        <v>1077</v>
      </c>
      <c r="C566" s="3" t="s">
        <v>41</v>
      </c>
      <c r="D566" s="4" t="s">
        <v>120</v>
      </c>
      <c r="E566" s="4" t="s">
        <v>120</v>
      </c>
      <c r="F566" s="16" t="s">
        <v>13</v>
      </c>
      <c r="G566" s="5" t="s">
        <v>42</v>
      </c>
      <c r="H566" s="5" t="s">
        <v>67</v>
      </c>
      <c r="I566" s="6">
        <v>1800627</v>
      </c>
      <c r="J566" s="7">
        <v>43137</v>
      </c>
      <c r="K566" s="7">
        <f t="shared" si="32"/>
        <v>43857</v>
      </c>
      <c r="L566" s="17" t="s">
        <v>99</v>
      </c>
    </row>
    <row r="567" spans="1:13" s="13" customFormat="1" ht="18" customHeight="1" x14ac:dyDescent="0.2">
      <c r="A567" s="3" t="s">
        <v>1076</v>
      </c>
      <c r="B567" s="3" t="s">
        <v>1077</v>
      </c>
      <c r="C567" s="3" t="s">
        <v>41</v>
      </c>
      <c r="D567" s="4" t="s">
        <v>55</v>
      </c>
      <c r="E567" s="4" t="s">
        <v>55</v>
      </c>
      <c r="F567" s="16" t="s">
        <v>13</v>
      </c>
      <c r="G567" s="5" t="s">
        <v>42</v>
      </c>
      <c r="H567" s="5" t="s">
        <v>16</v>
      </c>
      <c r="I567" s="6" t="s">
        <v>209</v>
      </c>
      <c r="J567" s="7">
        <v>43417</v>
      </c>
      <c r="K567" s="7">
        <f t="shared" si="32"/>
        <v>44137</v>
      </c>
      <c r="L567" s="17" t="s">
        <v>99</v>
      </c>
    </row>
    <row r="568" spans="1:13" s="13" customFormat="1" ht="18" customHeight="1" x14ac:dyDescent="0.2">
      <c r="A568" s="3" t="s">
        <v>1076</v>
      </c>
      <c r="B568" s="3" t="s">
        <v>1077</v>
      </c>
      <c r="C568" s="3" t="s">
        <v>41</v>
      </c>
      <c r="D568" s="4" t="s">
        <v>208</v>
      </c>
      <c r="E568" s="4" t="s">
        <v>208</v>
      </c>
      <c r="F568" s="16" t="s">
        <v>13</v>
      </c>
      <c r="G568" s="5" t="s">
        <v>42</v>
      </c>
      <c r="H568" s="5" t="s">
        <v>16</v>
      </c>
      <c r="I568" s="6" t="s">
        <v>560</v>
      </c>
      <c r="J568" s="7">
        <v>43417</v>
      </c>
      <c r="K568" s="7">
        <f t="shared" si="32"/>
        <v>44137</v>
      </c>
      <c r="L568" s="17" t="s">
        <v>99</v>
      </c>
    </row>
    <row r="569" spans="1:13" s="13" customFormat="1" ht="18" customHeight="1" x14ac:dyDescent="0.2">
      <c r="A569" s="3" t="s">
        <v>1076</v>
      </c>
      <c r="B569" s="3" t="s">
        <v>1077</v>
      </c>
      <c r="C569" s="3" t="s">
        <v>46</v>
      </c>
      <c r="D569" s="4" t="s">
        <v>201</v>
      </c>
      <c r="E569" s="4" t="s">
        <v>201</v>
      </c>
      <c r="F569" s="16" t="s">
        <v>13</v>
      </c>
      <c r="G569" s="5" t="s">
        <v>202</v>
      </c>
      <c r="H569" s="5" t="s">
        <v>16</v>
      </c>
      <c r="I569" s="6" t="s">
        <v>203</v>
      </c>
      <c r="J569" s="7">
        <v>43417</v>
      </c>
      <c r="K569" s="7">
        <f t="shared" si="32"/>
        <v>44137</v>
      </c>
      <c r="L569" s="17" t="s">
        <v>99</v>
      </c>
    </row>
    <row r="570" spans="1:13" s="13" customFormat="1" ht="18" customHeight="1" x14ac:dyDescent="0.2">
      <c r="A570" s="3" t="s">
        <v>1076</v>
      </c>
      <c r="B570" s="3" t="s">
        <v>1077</v>
      </c>
      <c r="C570" s="3" t="s">
        <v>121</v>
      </c>
      <c r="D570" s="4" t="s">
        <v>204</v>
      </c>
      <c r="E570" s="4" t="s">
        <v>204</v>
      </c>
      <c r="F570" s="16" t="s">
        <v>13</v>
      </c>
      <c r="G570" s="5">
        <v>13947</v>
      </c>
      <c r="H570" s="5" t="s">
        <v>16</v>
      </c>
      <c r="I570" s="6" t="s">
        <v>205</v>
      </c>
      <c r="J570" s="7">
        <v>43417</v>
      </c>
      <c r="K570" s="7">
        <f t="shared" si="32"/>
        <v>44137</v>
      </c>
      <c r="L570" s="17" t="s">
        <v>99</v>
      </c>
    </row>
    <row r="571" spans="1:13" s="13" customFormat="1" ht="18" customHeight="1" x14ac:dyDescent="0.2">
      <c r="A571" s="3" t="s">
        <v>1076</v>
      </c>
      <c r="B571" s="3" t="s">
        <v>1077</v>
      </c>
      <c r="C571" s="3" t="s">
        <v>41</v>
      </c>
      <c r="D571" s="4" t="s">
        <v>206</v>
      </c>
      <c r="E571" s="4" t="s">
        <v>206</v>
      </c>
      <c r="F571" s="16" t="s">
        <v>13</v>
      </c>
      <c r="G571" s="5" t="s">
        <v>42</v>
      </c>
      <c r="H571" s="5" t="s">
        <v>16</v>
      </c>
      <c r="I571" s="6" t="s">
        <v>207</v>
      </c>
      <c r="J571" s="7">
        <v>43417</v>
      </c>
      <c r="K571" s="7">
        <f t="shared" si="32"/>
        <v>44137</v>
      </c>
      <c r="L571" s="17" t="s">
        <v>99</v>
      </c>
    </row>
    <row r="572" spans="1:13" s="13" customFormat="1" ht="18" customHeight="1" x14ac:dyDescent="0.2">
      <c r="A572" s="3" t="s">
        <v>1076</v>
      </c>
      <c r="B572" s="3" t="s">
        <v>1077</v>
      </c>
      <c r="C572" s="3" t="s">
        <v>41</v>
      </c>
      <c r="D572" s="4" t="s">
        <v>210</v>
      </c>
      <c r="E572" s="4" t="s">
        <v>210</v>
      </c>
      <c r="F572" s="16" t="s">
        <v>13</v>
      </c>
      <c r="G572" s="5" t="s">
        <v>42</v>
      </c>
      <c r="H572" s="5" t="s">
        <v>16</v>
      </c>
      <c r="I572" s="6" t="s">
        <v>561</v>
      </c>
      <c r="J572" s="7">
        <v>43417</v>
      </c>
      <c r="K572" s="7">
        <f t="shared" si="32"/>
        <v>44137</v>
      </c>
      <c r="L572" s="17" t="s">
        <v>99</v>
      </c>
    </row>
    <row r="573" spans="1:13" s="15" customFormat="1" ht="18" customHeight="1" x14ac:dyDescent="0.2">
      <c r="A573" s="3" t="s">
        <v>1076</v>
      </c>
      <c r="B573" s="3" t="s">
        <v>1077</v>
      </c>
      <c r="C573" s="3" t="s">
        <v>41</v>
      </c>
      <c r="D573" s="4" t="s">
        <v>275</v>
      </c>
      <c r="E573" s="4" t="s">
        <v>275</v>
      </c>
      <c r="F573" s="16" t="s">
        <v>13</v>
      </c>
      <c r="G573" s="5" t="s">
        <v>276</v>
      </c>
      <c r="H573" s="5" t="s">
        <v>16</v>
      </c>
      <c r="I573" s="6" t="s">
        <v>277</v>
      </c>
      <c r="J573" s="7">
        <v>43623</v>
      </c>
      <c r="K573" s="7">
        <f t="shared" si="32"/>
        <v>44343</v>
      </c>
      <c r="L573" s="17" t="s">
        <v>99</v>
      </c>
      <c r="M573" s="13"/>
    </row>
    <row r="574" spans="1:13" s="14" customFormat="1" ht="18" customHeight="1" x14ac:dyDescent="0.2">
      <c r="A574" s="3" t="s">
        <v>1076</v>
      </c>
      <c r="B574" s="3" t="s">
        <v>1077</v>
      </c>
      <c r="C574" s="3" t="s">
        <v>41</v>
      </c>
      <c r="D574" s="4" t="s">
        <v>283</v>
      </c>
      <c r="E574" s="4" t="s">
        <v>283</v>
      </c>
      <c r="F574" s="16" t="s">
        <v>13</v>
      </c>
      <c r="G574" s="5" t="s">
        <v>42</v>
      </c>
      <c r="H574" s="5" t="s">
        <v>16</v>
      </c>
      <c r="I574" s="6" t="s">
        <v>284</v>
      </c>
      <c r="J574" s="7">
        <v>43623</v>
      </c>
      <c r="K574" s="7">
        <f t="shared" si="32"/>
        <v>44343</v>
      </c>
      <c r="L574" s="17" t="s">
        <v>99</v>
      </c>
      <c r="M574" s="13"/>
    </row>
    <row r="575" spans="1:13" s="15" customFormat="1" ht="18" customHeight="1" x14ac:dyDescent="0.2">
      <c r="A575" s="3" t="s">
        <v>1076</v>
      </c>
      <c r="B575" s="3" t="s">
        <v>1077</v>
      </c>
      <c r="C575" s="3" t="s">
        <v>41</v>
      </c>
      <c r="D575" s="4" t="s">
        <v>254</v>
      </c>
      <c r="E575" s="4" t="s">
        <v>254</v>
      </c>
      <c r="F575" s="16" t="s">
        <v>13</v>
      </c>
      <c r="G575" s="5" t="s">
        <v>13</v>
      </c>
      <c r="H575" s="5" t="s">
        <v>16</v>
      </c>
      <c r="I575" s="6" t="s">
        <v>240</v>
      </c>
      <c r="J575" s="7">
        <v>43623</v>
      </c>
      <c r="K575" s="7">
        <f t="shared" si="32"/>
        <v>44343</v>
      </c>
      <c r="L575" s="17" t="s">
        <v>99</v>
      </c>
      <c r="M575" s="13"/>
    </row>
    <row r="576" spans="1:13" s="13" customFormat="1" ht="18" customHeight="1" x14ac:dyDescent="0.2">
      <c r="A576" s="3" t="s">
        <v>1076</v>
      </c>
      <c r="B576" s="3" t="s">
        <v>1077</v>
      </c>
      <c r="C576" s="3" t="s">
        <v>41</v>
      </c>
      <c r="D576" s="4" t="s">
        <v>237</v>
      </c>
      <c r="E576" s="4" t="s">
        <v>237</v>
      </c>
      <c r="F576" s="16" t="s">
        <v>13</v>
      </c>
      <c r="G576" s="5" t="s">
        <v>42</v>
      </c>
      <c r="H576" s="5" t="s">
        <v>16</v>
      </c>
      <c r="I576" s="6" t="s">
        <v>238</v>
      </c>
      <c r="J576" s="7">
        <v>43623</v>
      </c>
      <c r="K576" s="7">
        <f t="shared" si="32"/>
        <v>44343</v>
      </c>
      <c r="L576" s="17" t="s">
        <v>99</v>
      </c>
    </row>
    <row r="577" spans="1:13" s="13" customFormat="1" ht="18" customHeight="1" x14ac:dyDescent="0.2">
      <c r="A577" s="3" t="s">
        <v>1076</v>
      </c>
      <c r="B577" s="3" t="s">
        <v>1077</v>
      </c>
      <c r="C577" s="3" t="s">
        <v>41</v>
      </c>
      <c r="D577" s="4" t="s">
        <v>248</v>
      </c>
      <c r="E577" s="4" t="s">
        <v>248</v>
      </c>
      <c r="F577" s="16" t="s">
        <v>13</v>
      </c>
      <c r="G577" s="5" t="s">
        <v>13</v>
      </c>
      <c r="H577" s="5" t="s">
        <v>16</v>
      </c>
      <c r="I577" s="6" t="s">
        <v>249</v>
      </c>
      <c r="J577" s="7">
        <v>43623</v>
      </c>
      <c r="K577" s="7">
        <f t="shared" si="32"/>
        <v>44343</v>
      </c>
      <c r="L577" s="17" t="s">
        <v>99</v>
      </c>
    </row>
    <row r="578" spans="1:13" s="13" customFormat="1" ht="18" customHeight="1" x14ac:dyDescent="0.2">
      <c r="A578" s="3" t="s">
        <v>1076</v>
      </c>
      <c r="B578" s="3" t="s">
        <v>1077</v>
      </c>
      <c r="C578" s="3" t="s">
        <v>41</v>
      </c>
      <c r="D578" s="4" t="s">
        <v>261</v>
      </c>
      <c r="E578" s="4" t="s">
        <v>261</v>
      </c>
      <c r="F578" s="16" t="s">
        <v>13</v>
      </c>
      <c r="G578" s="5" t="s">
        <v>13</v>
      </c>
      <c r="H578" s="5" t="s">
        <v>16</v>
      </c>
      <c r="I578" s="6" t="s">
        <v>270</v>
      </c>
      <c r="J578" s="7">
        <v>43623</v>
      </c>
      <c r="K578" s="7">
        <f t="shared" si="32"/>
        <v>44343</v>
      </c>
      <c r="L578" s="17" t="s">
        <v>99</v>
      </c>
    </row>
    <row r="579" spans="1:13" s="13" customFormat="1" ht="18" customHeight="1" x14ac:dyDescent="0.2">
      <c r="A579" s="3" t="s">
        <v>1076</v>
      </c>
      <c r="B579" s="3" t="s">
        <v>1077</v>
      </c>
      <c r="C579" s="3" t="s">
        <v>41</v>
      </c>
      <c r="D579" s="4" t="s">
        <v>269</v>
      </c>
      <c r="E579" s="4" t="s">
        <v>269</v>
      </c>
      <c r="F579" s="16" t="s">
        <v>13</v>
      </c>
      <c r="G579" s="5" t="s">
        <v>276</v>
      </c>
      <c r="H579" s="5" t="s">
        <v>16</v>
      </c>
      <c r="I579" s="6" t="s">
        <v>247</v>
      </c>
      <c r="J579" s="7">
        <v>43623</v>
      </c>
      <c r="K579" s="7">
        <f t="shared" si="32"/>
        <v>44343</v>
      </c>
      <c r="L579" s="17" t="s">
        <v>99</v>
      </c>
    </row>
    <row r="580" spans="1:13" s="15" customFormat="1" ht="18" customHeight="1" x14ac:dyDescent="0.2">
      <c r="A580" s="3" t="s">
        <v>1076</v>
      </c>
      <c r="B580" s="3" t="s">
        <v>1077</v>
      </c>
      <c r="C580" s="3" t="s">
        <v>41</v>
      </c>
      <c r="D580" s="4" t="s">
        <v>257</v>
      </c>
      <c r="E580" s="4" t="s">
        <v>257</v>
      </c>
      <c r="F580" s="16" t="s">
        <v>13</v>
      </c>
      <c r="G580" s="5" t="s">
        <v>13</v>
      </c>
      <c r="H580" s="5" t="s">
        <v>16</v>
      </c>
      <c r="I580" s="6" t="s">
        <v>258</v>
      </c>
      <c r="J580" s="7">
        <v>43623</v>
      </c>
      <c r="K580" s="7">
        <f t="shared" si="32"/>
        <v>44343</v>
      </c>
      <c r="L580" s="17" t="s">
        <v>99</v>
      </c>
      <c r="M580" s="13"/>
    </row>
    <row r="581" spans="1:13" s="15" customFormat="1" ht="18" customHeight="1" x14ac:dyDescent="0.2">
      <c r="A581" s="3" t="s">
        <v>1076</v>
      </c>
      <c r="B581" s="3" t="s">
        <v>1077</v>
      </c>
      <c r="C581" s="3" t="s">
        <v>302</v>
      </c>
      <c r="D581" s="4" t="s">
        <v>303</v>
      </c>
      <c r="E581" s="4" t="s">
        <v>303</v>
      </c>
      <c r="F581" s="16" t="s">
        <v>13</v>
      </c>
      <c r="G581" s="5">
        <v>3100555</v>
      </c>
      <c r="H581" s="5" t="s">
        <v>16</v>
      </c>
      <c r="I581" s="6" t="s">
        <v>304</v>
      </c>
      <c r="J581" s="7">
        <v>43692</v>
      </c>
      <c r="K581" s="7">
        <f t="shared" si="32"/>
        <v>44412</v>
      </c>
      <c r="L581" s="17" t="s">
        <v>99</v>
      </c>
      <c r="M581" s="13"/>
    </row>
    <row r="582" spans="1:13" s="14" customFormat="1" ht="18" customHeight="1" x14ac:dyDescent="0.2">
      <c r="A582" s="3" t="s">
        <v>1076</v>
      </c>
      <c r="B582" s="3" t="s">
        <v>1078</v>
      </c>
      <c r="C582" s="3" t="s">
        <v>46</v>
      </c>
      <c r="D582" s="4" t="s">
        <v>722</v>
      </c>
      <c r="E582" s="4" t="s">
        <v>722</v>
      </c>
      <c r="F582" s="16" t="s">
        <v>13</v>
      </c>
      <c r="G582" s="5" t="s">
        <v>614</v>
      </c>
      <c r="H582" s="5" t="s">
        <v>163</v>
      </c>
      <c r="I582" s="42">
        <v>2224241</v>
      </c>
      <c r="J582" s="7">
        <v>44858</v>
      </c>
      <c r="K582" s="7">
        <f t="shared" si="32"/>
        <v>45578</v>
      </c>
      <c r="L582" s="17" t="s">
        <v>99</v>
      </c>
      <c r="M582" s="13"/>
    </row>
    <row r="583" spans="1:13" s="14" customFormat="1" ht="18" customHeight="1" x14ac:dyDescent="0.2">
      <c r="A583" s="3" t="s">
        <v>1076</v>
      </c>
      <c r="B583" s="3" t="s">
        <v>1078</v>
      </c>
      <c r="C583" s="3" t="s">
        <v>46</v>
      </c>
      <c r="D583" s="4" t="s">
        <v>723</v>
      </c>
      <c r="E583" s="4" t="s">
        <v>723</v>
      </c>
      <c r="F583" s="16" t="s">
        <v>13</v>
      </c>
      <c r="G583" s="5" t="s">
        <v>614</v>
      </c>
      <c r="H583" s="5" t="s">
        <v>16</v>
      </c>
      <c r="I583" s="6" t="s">
        <v>724</v>
      </c>
      <c r="J583" s="7">
        <v>44368</v>
      </c>
      <c r="K583" s="7">
        <f t="shared" si="32"/>
        <v>45088</v>
      </c>
      <c r="L583" s="17" t="s">
        <v>99</v>
      </c>
      <c r="M583" s="13"/>
    </row>
    <row r="584" spans="1:13" s="13" customFormat="1" ht="18" customHeight="1" x14ac:dyDescent="0.2">
      <c r="A584" s="3" t="s">
        <v>1076</v>
      </c>
      <c r="B584" s="3" t="s">
        <v>1077</v>
      </c>
      <c r="C584" s="3" t="s">
        <v>41</v>
      </c>
      <c r="D584" s="4" t="s">
        <v>907</v>
      </c>
      <c r="E584" s="4" t="s">
        <v>907</v>
      </c>
      <c r="F584" s="16" t="s">
        <v>13</v>
      </c>
      <c r="G584" s="5" t="s">
        <v>276</v>
      </c>
      <c r="H584" s="5" t="s">
        <v>163</v>
      </c>
      <c r="I584" s="6">
        <v>2215141</v>
      </c>
      <c r="J584" s="7">
        <v>44749</v>
      </c>
      <c r="K584" s="7">
        <f t="shared" si="32"/>
        <v>45469</v>
      </c>
      <c r="L584" s="17" t="s">
        <v>99</v>
      </c>
    </row>
    <row r="585" spans="1:13" s="15" customFormat="1" ht="18" customHeight="1" x14ac:dyDescent="0.2">
      <c r="A585" s="3" t="s">
        <v>1076</v>
      </c>
      <c r="B585" s="3" t="s">
        <v>1077</v>
      </c>
      <c r="C585" s="3" t="s">
        <v>41</v>
      </c>
      <c r="D585" s="4" t="s">
        <v>909</v>
      </c>
      <c r="E585" s="4" t="s">
        <v>909</v>
      </c>
      <c r="F585" s="16" t="s">
        <v>13</v>
      </c>
      <c r="G585" s="5" t="s">
        <v>276</v>
      </c>
      <c r="H585" s="5" t="s">
        <v>163</v>
      </c>
      <c r="I585" s="6">
        <v>2215142</v>
      </c>
      <c r="J585" s="7">
        <v>44749</v>
      </c>
      <c r="K585" s="7">
        <f t="shared" si="32"/>
        <v>45469</v>
      </c>
      <c r="L585" s="17" t="s">
        <v>99</v>
      </c>
      <c r="M585" s="13"/>
    </row>
    <row r="586" spans="1:13" s="13" customFormat="1" ht="18" customHeight="1" x14ac:dyDescent="0.2">
      <c r="A586" s="3" t="s">
        <v>1076</v>
      </c>
      <c r="B586" s="3" t="s">
        <v>1077</v>
      </c>
      <c r="C586" s="3" t="s">
        <v>41</v>
      </c>
      <c r="D586" s="4" t="s">
        <v>910</v>
      </c>
      <c r="E586" s="4" t="s">
        <v>910</v>
      </c>
      <c r="F586" s="16" t="s">
        <v>13</v>
      </c>
      <c r="G586" s="5" t="s">
        <v>276</v>
      </c>
      <c r="H586" s="5" t="s">
        <v>163</v>
      </c>
      <c r="I586" s="6">
        <v>2215143</v>
      </c>
      <c r="J586" s="7">
        <v>44749</v>
      </c>
      <c r="K586" s="7">
        <f t="shared" ref="K586:K617" si="33">J586+720</f>
        <v>45469</v>
      </c>
      <c r="L586" s="17" t="s">
        <v>99</v>
      </c>
    </row>
    <row r="587" spans="1:13" s="13" customFormat="1" ht="18" customHeight="1" x14ac:dyDescent="0.2">
      <c r="A587" s="3" t="s">
        <v>1076</v>
      </c>
      <c r="B587" s="3" t="s">
        <v>1077</v>
      </c>
      <c r="C587" s="3" t="s">
        <v>41</v>
      </c>
      <c r="D587" s="4" t="s">
        <v>912</v>
      </c>
      <c r="E587" s="4" t="s">
        <v>912</v>
      </c>
      <c r="F587" s="16" t="s">
        <v>13</v>
      </c>
      <c r="G587" s="5" t="s">
        <v>276</v>
      </c>
      <c r="H587" s="5" t="s">
        <v>163</v>
      </c>
      <c r="I587" s="6">
        <v>2215145</v>
      </c>
      <c r="J587" s="7">
        <v>44749</v>
      </c>
      <c r="K587" s="7">
        <f t="shared" si="33"/>
        <v>45469</v>
      </c>
      <c r="L587" s="17" t="s">
        <v>99</v>
      </c>
    </row>
    <row r="588" spans="1:13" s="13" customFormat="1" ht="18" customHeight="1" x14ac:dyDescent="0.2">
      <c r="A588" s="3" t="s">
        <v>1076</v>
      </c>
      <c r="B588" s="3" t="s">
        <v>1077</v>
      </c>
      <c r="C588" s="3" t="s">
        <v>41</v>
      </c>
      <c r="D588" s="4" t="s">
        <v>147</v>
      </c>
      <c r="E588" s="4" t="s">
        <v>147</v>
      </c>
      <c r="F588" s="16" t="s">
        <v>13</v>
      </c>
      <c r="G588" s="5" t="s">
        <v>13</v>
      </c>
      <c r="H588" s="5" t="s">
        <v>163</v>
      </c>
      <c r="I588" s="6">
        <v>2217126</v>
      </c>
      <c r="J588" s="7">
        <v>44777</v>
      </c>
      <c r="K588" s="7">
        <f t="shared" si="33"/>
        <v>45497</v>
      </c>
      <c r="L588" s="17" t="s">
        <v>99</v>
      </c>
    </row>
    <row r="589" spans="1:13" s="13" customFormat="1" ht="18" customHeight="1" x14ac:dyDescent="0.2">
      <c r="A589" s="3" t="s">
        <v>1076</v>
      </c>
      <c r="B589" s="3" t="s">
        <v>1077</v>
      </c>
      <c r="C589" s="3" t="s">
        <v>41</v>
      </c>
      <c r="D589" s="4" t="s">
        <v>764</v>
      </c>
      <c r="E589" s="4" t="s">
        <v>764</v>
      </c>
      <c r="F589" s="16" t="s">
        <v>13</v>
      </c>
      <c r="G589" s="5" t="s">
        <v>13</v>
      </c>
      <c r="H589" s="5" t="s">
        <v>163</v>
      </c>
      <c r="I589" s="42">
        <v>2218829</v>
      </c>
      <c r="J589" s="7">
        <v>44805</v>
      </c>
      <c r="K589" s="7">
        <f t="shared" si="33"/>
        <v>45525</v>
      </c>
      <c r="L589" s="17" t="s">
        <v>99</v>
      </c>
    </row>
    <row r="590" spans="1:13" s="13" customFormat="1" ht="18" customHeight="1" x14ac:dyDescent="0.2">
      <c r="A590" s="3" t="s">
        <v>1076</v>
      </c>
      <c r="B590" s="3" t="s">
        <v>1077</v>
      </c>
      <c r="C590" s="3" t="s">
        <v>41</v>
      </c>
      <c r="D590" s="4" t="s">
        <v>765</v>
      </c>
      <c r="E590" s="4" t="s">
        <v>765</v>
      </c>
      <c r="F590" s="16" t="s">
        <v>13</v>
      </c>
      <c r="G590" s="5" t="s">
        <v>13</v>
      </c>
      <c r="H590" s="5" t="s">
        <v>163</v>
      </c>
      <c r="I590" s="42">
        <v>2218830</v>
      </c>
      <c r="J590" s="7">
        <v>44805</v>
      </c>
      <c r="K590" s="7">
        <f t="shared" si="33"/>
        <v>45525</v>
      </c>
      <c r="L590" s="17" t="s">
        <v>99</v>
      </c>
    </row>
    <row r="591" spans="1:13" s="14" customFormat="1" ht="18" customHeight="1" x14ac:dyDescent="0.2">
      <c r="A591" s="3" t="s">
        <v>1076</v>
      </c>
      <c r="B591" s="3" t="s">
        <v>1077</v>
      </c>
      <c r="C591" s="3" t="s">
        <v>41</v>
      </c>
      <c r="D591" s="4" t="s">
        <v>766</v>
      </c>
      <c r="E591" s="4" t="s">
        <v>766</v>
      </c>
      <c r="F591" s="16" t="s">
        <v>13</v>
      </c>
      <c r="G591" s="5" t="s">
        <v>13</v>
      </c>
      <c r="H591" s="5" t="s">
        <v>16</v>
      </c>
      <c r="I591" s="6" t="s">
        <v>773</v>
      </c>
      <c r="J591" s="7">
        <v>44417</v>
      </c>
      <c r="K591" s="7">
        <f t="shared" si="33"/>
        <v>45137</v>
      </c>
      <c r="L591" s="17" t="s">
        <v>99</v>
      </c>
      <c r="M591" s="13"/>
    </row>
    <row r="592" spans="1:13" s="14" customFormat="1" ht="18" customHeight="1" x14ac:dyDescent="0.2">
      <c r="A592" s="3" t="s">
        <v>1076</v>
      </c>
      <c r="B592" s="3" t="s">
        <v>1077</v>
      </c>
      <c r="C592" s="3" t="s">
        <v>41</v>
      </c>
      <c r="D592" s="4" t="s">
        <v>767</v>
      </c>
      <c r="E592" s="4" t="s">
        <v>767</v>
      </c>
      <c r="F592" s="16" t="s">
        <v>13</v>
      </c>
      <c r="G592" s="5" t="s">
        <v>13</v>
      </c>
      <c r="H592" s="5" t="s">
        <v>16</v>
      </c>
      <c r="I592" s="6" t="s">
        <v>774</v>
      </c>
      <c r="J592" s="7">
        <v>44417</v>
      </c>
      <c r="K592" s="7">
        <f t="shared" si="33"/>
        <v>45137</v>
      </c>
      <c r="L592" s="17" t="s">
        <v>99</v>
      </c>
      <c r="M592" s="13"/>
    </row>
    <row r="593" spans="1:12" s="13" customFormat="1" ht="18" customHeight="1" x14ac:dyDescent="0.2">
      <c r="A593" s="3" t="s">
        <v>1076</v>
      </c>
      <c r="B593" s="3" t="s">
        <v>1077</v>
      </c>
      <c r="C593" s="3" t="s">
        <v>41</v>
      </c>
      <c r="D593" s="4" t="s">
        <v>768</v>
      </c>
      <c r="E593" s="4" t="s">
        <v>768</v>
      </c>
      <c r="F593" s="16" t="s">
        <v>13</v>
      </c>
      <c r="G593" s="5" t="s">
        <v>13</v>
      </c>
      <c r="H593" s="5" t="s">
        <v>16</v>
      </c>
      <c r="I593" s="6" t="s">
        <v>775</v>
      </c>
      <c r="J593" s="7">
        <v>44417</v>
      </c>
      <c r="K593" s="7">
        <f t="shared" si="33"/>
        <v>45137</v>
      </c>
      <c r="L593" s="17" t="s">
        <v>99</v>
      </c>
    </row>
    <row r="594" spans="1:12" s="13" customFormat="1" ht="18" customHeight="1" x14ac:dyDescent="0.2">
      <c r="A594" s="3" t="s">
        <v>1076</v>
      </c>
      <c r="B594" s="3" t="s">
        <v>1077</v>
      </c>
      <c r="C594" s="3" t="s">
        <v>41</v>
      </c>
      <c r="D594" s="4" t="s">
        <v>769</v>
      </c>
      <c r="E594" s="4" t="s">
        <v>769</v>
      </c>
      <c r="F594" s="16" t="s">
        <v>13</v>
      </c>
      <c r="G594" s="5" t="s">
        <v>13</v>
      </c>
      <c r="H594" s="5" t="s">
        <v>16</v>
      </c>
      <c r="I594" s="6" t="s">
        <v>776</v>
      </c>
      <c r="J594" s="7">
        <v>44417</v>
      </c>
      <c r="K594" s="7">
        <f t="shared" si="33"/>
        <v>45137</v>
      </c>
      <c r="L594" s="17" t="s">
        <v>99</v>
      </c>
    </row>
    <row r="595" spans="1:12" s="13" customFormat="1" ht="18" customHeight="1" x14ac:dyDescent="0.2">
      <c r="A595" s="3" t="s">
        <v>1076</v>
      </c>
      <c r="B595" s="3" t="s">
        <v>1077</v>
      </c>
      <c r="C595" s="3" t="s">
        <v>41</v>
      </c>
      <c r="D595" s="4" t="s">
        <v>770</v>
      </c>
      <c r="E595" s="4" t="s">
        <v>770</v>
      </c>
      <c r="F595" s="16" t="s">
        <v>13</v>
      </c>
      <c r="G595" s="5" t="s">
        <v>13</v>
      </c>
      <c r="H595" s="5" t="s">
        <v>16</v>
      </c>
      <c r="I595" s="6" t="s">
        <v>777</v>
      </c>
      <c r="J595" s="7">
        <v>44417</v>
      </c>
      <c r="K595" s="7">
        <f t="shared" si="33"/>
        <v>45137</v>
      </c>
      <c r="L595" s="17" t="s">
        <v>99</v>
      </c>
    </row>
    <row r="596" spans="1:12" s="13" customFormat="1" ht="18" customHeight="1" x14ac:dyDescent="0.2">
      <c r="A596" s="3" t="s">
        <v>1076</v>
      </c>
      <c r="B596" s="3" t="s">
        <v>1077</v>
      </c>
      <c r="C596" s="3" t="s">
        <v>41</v>
      </c>
      <c r="D596" s="4" t="s">
        <v>771</v>
      </c>
      <c r="E596" s="4" t="s">
        <v>771</v>
      </c>
      <c r="F596" s="16" t="s">
        <v>13</v>
      </c>
      <c r="G596" s="5" t="s">
        <v>13</v>
      </c>
      <c r="H596" s="5" t="s">
        <v>16</v>
      </c>
      <c r="I596" s="6" t="s">
        <v>778</v>
      </c>
      <c r="J596" s="7">
        <v>44417</v>
      </c>
      <c r="K596" s="7">
        <f t="shared" si="33"/>
        <v>45137</v>
      </c>
      <c r="L596" s="17" t="s">
        <v>99</v>
      </c>
    </row>
    <row r="597" spans="1:12" s="13" customFormat="1" ht="18" customHeight="1" x14ac:dyDescent="0.2">
      <c r="A597" s="3" t="s">
        <v>1076</v>
      </c>
      <c r="B597" s="3" t="s">
        <v>1077</v>
      </c>
      <c r="C597" s="3" t="s">
        <v>41</v>
      </c>
      <c r="D597" s="4" t="s">
        <v>772</v>
      </c>
      <c r="E597" s="4" t="s">
        <v>772</v>
      </c>
      <c r="F597" s="16" t="s">
        <v>13</v>
      </c>
      <c r="G597" s="5" t="s">
        <v>13</v>
      </c>
      <c r="H597" s="5" t="s">
        <v>16</v>
      </c>
      <c r="I597" s="6" t="s">
        <v>779</v>
      </c>
      <c r="J597" s="7">
        <v>44417</v>
      </c>
      <c r="K597" s="7">
        <f t="shared" si="33"/>
        <v>45137</v>
      </c>
      <c r="L597" s="17" t="s">
        <v>99</v>
      </c>
    </row>
    <row r="598" spans="1:12" s="13" customFormat="1" ht="18" customHeight="1" x14ac:dyDescent="0.2">
      <c r="A598" s="3" t="s">
        <v>1076</v>
      </c>
      <c r="B598" s="3" t="s">
        <v>1078</v>
      </c>
      <c r="C598" s="3" t="s">
        <v>41</v>
      </c>
      <c r="D598" s="4" t="s">
        <v>1056</v>
      </c>
      <c r="E598" s="4" t="s">
        <v>1056</v>
      </c>
      <c r="F598" s="16" t="s">
        <v>13</v>
      </c>
      <c r="G598" s="5" t="s">
        <v>276</v>
      </c>
      <c r="H598" s="5" t="s">
        <v>163</v>
      </c>
      <c r="I598" s="42">
        <v>2218831</v>
      </c>
      <c r="J598" s="7">
        <v>44805</v>
      </c>
      <c r="K598" s="7">
        <f t="shared" si="33"/>
        <v>45525</v>
      </c>
      <c r="L598" s="17" t="s">
        <v>99</v>
      </c>
    </row>
    <row r="599" spans="1:12" s="13" customFormat="1" ht="18" customHeight="1" x14ac:dyDescent="0.2">
      <c r="A599" s="3" t="s">
        <v>1076</v>
      </c>
      <c r="B599" s="3" t="s">
        <v>1078</v>
      </c>
      <c r="C599" s="3" t="s">
        <v>41</v>
      </c>
      <c r="D599" s="4" t="s">
        <v>1063</v>
      </c>
      <c r="E599" s="4" t="s">
        <v>1063</v>
      </c>
      <c r="F599" s="16" t="s">
        <v>13</v>
      </c>
      <c r="G599" s="5" t="s">
        <v>305</v>
      </c>
      <c r="H599" s="5" t="s">
        <v>163</v>
      </c>
      <c r="I599" s="42">
        <v>2221079</v>
      </c>
      <c r="J599" s="7">
        <v>44813</v>
      </c>
      <c r="K599" s="7">
        <f t="shared" si="33"/>
        <v>45533</v>
      </c>
      <c r="L599" s="17" t="s">
        <v>99</v>
      </c>
    </row>
    <row r="600" spans="1:12" s="13" customFormat="1" ht="18" customHeight="1" x14ac:dyDescent="0.2">
      <c r="A600" s="3" t="s">
        <v>1076</v>
      </c>
      <c r="B600" s="3" t="s">
        <v>1078</v>
      </c>
      <c r="C600" s="3" t="s">
        <v>41</v>
      </c>
      <c r="D600" s="4" t="s">
        <v>1057</v>
      </c>
      <c r="E600" s="4" t="s">
        <v>1057</v>
      </c>
      <c r="F600" s="16" t="s">
        <v>13</v>
      </c>
      <c r="G600" s="5" t="s">
        <v>305</v>
      </c>
      <c r="H600" s="5" t="s">
        <v>163</v>
      </c>
      <c r="I600" s="42">
        <v>2218832</v>
      </c>
      <c r="J600" s="7">
        <v>44805</v>
      </c>
      <c r="K600" s="7">
        <f t="shared" si="33"/>
        <v>45525</v>
      </c>
      <c r="L600" s="17" t="s">
        <v>99</v>
      </c>
    </row>
    <row r="601" spans="1:12" s="13" customFormat="1" ht="18" customHeight="1" x14ac:dyDescent="0.2">
      <c r="A601" s="3" t="s">
        <v>1076</v>
      </c>
      <c r="B601" s="3" t="s">
        <v>1077</v>
      </c>
      <c r="C601" s="3" t="s">
        <v>41</v>
      </c>
      <c r="D601" s="4" t="s">
        <v>1187</v>
      </c>
      <c r="E601" s="4" t="s">
        <v>1187</v>
      </c>
      <c r="F601" s="16" t="s">
        <v>13</v>
      </c>
      <c r="G601" s="5" t="s">
        <v>305</v>
      </c>
      <c r="H601" s="5" t="s">
        <v>163</v>
      </c>
      <c r="I601" s="42">
        <v>2305355</v>
      </c>
      <c r="J601" s="7">
        <v>44992</v>
      </c>
      <c r="K601" s="7">
        <f t="shared" si="33"/>
        <v>45712</v>
      </c>
      <c r="L601" s="17" t="s">
        <v>99</v>
      </c>
    </row>
    <row r="602" spans="1:12" s="13" customFormat="1" ht="18" customHeight="1" x14ac:dyDescent="0.2">
      <c r="A602" s="3" t="s">
        <v>1076</v>
      </c>
      <c r="B602" s="3" t="s">
        <v>1077</v>
      </c>
      <c r="C602" s="3" t="s">
        <v>41</v>
      </c>
      <c r="D602" s="4" t="s">
        <v>1188</v>
      </c>
      <c r="E602" s="4" t="s">
        <v>1188</v>
      </c>
      <c r="F602" s="16" t="s">
        <v>13</v>
      </c>
      <c r="G602" s="5" t="s">
        <v>305</v>
      </c>
      <c r="H602" s="5" t="s">
        <v>163</v>
      </c>
      <c r="I602" s="42">
        <v>2305356</v>
      </c>
      <c r="J602" s="7">
        <v>44992</v>
      </c>
      <c r="K602" s="7">
        <f t="shared" si="33"/>
        <v>45712</v>
      </c>
      <c r="L602" s="17" t="s">
        <v>99</v>
      </c>
    </row>
    <row r="603" spans="1:12" s="13" customFormat="1" ht="18" customHeight="1" x14ac:dyDescent="0.2">
      <c r="A603" s="3" t="s">
        <v>1076</v>
      </c>
      <c r="B603" s="3" t="s">
        <v>1077</v>
      </c>
      <c r="C603" s="3" t="s">
        <v>41</v>
      </c>
      <c r="D603" s="4" t="s">
        <v>1219</v>
      </c>
      <c r="E603" s="4" t="s">
        <v>1219</v>
      </c>
      <c r="F603" s="16" t="s">
        <v>13</v>
      </c>
      <c r="G603" s="5" t="s">
        <v>276</v>
      </c>
      <c r="H603" s="5" t="s">
        <v>163</v>
      </c>
      <c r="I603" s="42">
        <v>2307193</v>
      </c>
      <c r="J603" s="7">
        <v>45007</v>
      </c>
      <c r="K603" s="7">
        <f t="shared" si="33"/>
        <v>45727</v>
      </c>
      <c r="L603" s="17" t="s">
        <v>99</v>
      </c>
    </row>
    <row r="604" spans="1:12" s="13" customFormat="1" ht="18" customHeight="1" x14ac:dyDescent="0.2">
      <c r="A604" s="3" t="s">
        <v>1076</v>
      </c>
      <c r="B604" s="3" t="s">
        <v>1077</v>
      </c>
      <c r="C604" s="3" t="s">
        <v>41</v>
      </c>
      <c r="D604" s="4" t="s">
        <v>1220</v>
      </c>
      <c r="E604" s="4" t="s">
        <v>1220</v>
      </c>
      <c r="F604" s="16" t="s">
        <v>13</v>
      </c>
      <c r="G604" s="5" t="s">
        <v>276</v>
      </c>
      <c r="H604" s="5" t="s">
        <v>163</v>
      </c>
      <c r="I604" s="42">
        <v>2307194</v>
      </c>
      <c r="J604" s="7">
        <v>45007</v>
      </c>
      <c r="K604" s="7">
        <f t="shared" si="33"/>
        <v>45727</v>
      </c>
      <c r="L604" s="17" t="s">
        <v>99</v>
      </c>
    </row>
    <row r="605" spans="1:12" s="13" customFormat="1" ht="18" customHeight="1" x14ac:dyDescent="0.2">
      <c r="A605" s="3" t="s">
        <v>1076</v>
      </c>
      <c r="B605" s="3" t="s">
        <v>1077</v>
      </c>
      <c r="C605" s="3" t="s">
        <v>41</v>
      </c>
      <c r="D605" s="4" t="s">
        <v>1221</v>
      </c>
      <c r="E605" s="4" t="s">
        <v>1221</v>
      </c>
      <c r="F605" s="16" t="s">
        <v>13</v>
      </c>
      <c r="G605" s="5" t="s">
        <v>276</v>
      </c>
      <c r="H605" s="5" t="s">
        <v>163</v>
      </c>
      <c r="I605" s="42">
        <v>2307195</v>
      </c>
      <c r="J605" s="7">
        <v>45007</v>
      </c>
      <c r="K605" s="7">
        <f t="shared" si="33"/>
        <v>45727</v>
      </c>
      <c r="L605" s="17" t="s">
        <v>99</v>
      </c>
    </row>
    <row r="606" spans="1:12" s="13" customFormat="1" ht="18" customHeight="1" x14ac:dyDescent="0.2">
      <c r="A606" s="3" t="s">
        <v>1076</v>
      </c>
      <c r="B606" s="3" t="s">
        <v>1077</v>
      </c>
      <c r="C606" s="3" t="s">
        <v>41</v>
      </c>
      <c r="D606" s="4" t="s">
        <v>1222</v>
      </c>
      <c r="E606" s="4" t="s">
        <v>1222</v>
      </c>
      <c r="F606" s="16" t="s">
        <v>13</v>
      </c>
      <c r="G606" s="5" t="s">
        <v>276</v>
      </c>
      <c r="H606" s="5" t="s">
        <v>163</v>
      </c>
      <c r="I606" s="42">
        <v>2307196</v>
      </c>
      <c r="J606" s="7">
        <v>45007</v>
      </c>
      <c r="K606" s="7">
        <f t="shared" si="33"/>
        <v>45727</v>
      </c>
      <c r="L606" s="17" t="s">
        <v>99</v>
      </c>
    </row>
    <row r="607" spans="1:12" s="13" customFormat="1" ht="18" customHeight="1" x14ac:dyDescent="0.2">
      <c r="A607" s="3" t="s">
        <v>1076</v>
      </c>
      <c r="B607" s="3" t="s">
        <v>1077</v>
      </c>
      <c r="C607" s="3" t="s">
        <v>41</v>
      </c>
      <c r="D607" s="4" t="s">
        <v>1223</v>
      </c>
      <c r="E607" s="4" t="s">
        <v>1223</v>
      </c>
      <c r="F607" s="16" t="s">
        <v>13</v>
      </c>
      <c r="G607" s="5" t="s">
        <v>276</v>
      </c>
      <c r="H607" s="5" t="s">
        <v>163</v>
      </c>
      <c r="I607" s="42">
        <v>2307197</v>
      </c>
      <c r="J607" s="7">
        <v>45007</v>
      </c>
      <c r="K607" s="7">
        <f t="shared" si="33"/>
        <v>45727</v>
      </c>
      <c r="L607" s="17" t="s">
        <v>99</v>
      </c>
    </row>
    <row r="608" spans="1:12" s="13" customFormat="1" ht="18" customHeight="1" x14ac:dyDescent="0.2">
      <c r="A608" s="3" t="s">
        <v>1076</v>
      </c>
      <c r="B608" s="3" t="s">
        <v>1077</v>
      </c>
      <c r="C608" s="3" t="s">
        <v>41</v>
      </c>
      <c r="D608" s="4" t="s">
        <v>1229</v>
      </c>
      <c r="E608" s="4" t="s">
        <v>1229</v>
      </c>
      <c r="F608" s="16" t="s">
        <v>13</v>
      </c>
      <c r="G608" s="5" t="s">
        <v>276</v>
      </c>
      <c r="H608" s="5" t="s">
        <v>163</v>
      </c>
      <c r="I608" s="42">
        <v>2311419</v>
      </c>
      <c r="J608" s="7">
        <v>45048</v>
      </c>
      <c r="K608" s="7">
        <f t="shared" si="33"/>
        <v>45768</v>
      </c>
      <c r="L608" s="17" t="s">
        <v>1257</v>
      </c>
    </row>
    <row r="609" spans="1:12" s="13" customFormat="1" ht="18" customHeight="1" x14ac:dyDescent="0.2">
      <c r="A609" s="3" t="s">
        <v>1076</v>
      </c>
      <c r="B609" s="3" t="s">
        <v>1077</v>
      </c>
      <c r="C609" s="3" t="s">
        <v>41</v>
      </c>
      <c r="D609" s="4" t="s">
        <v>1230</v>
      </c>
      <c r="E609" s="4" t="s">
        <v>1230</v>
      </c>
      <c r="F609" s="16" t="s">
        <v>13</v>
      </c>
      <c r="G609" s="5" t="s">
        <v>276</v>
      </c>
      <c r="H609" s="5" t="s">
        <v>163</v>
      </c>
      <c r="I609" s="42">
        <v>2311420</v>
      </c>
      <c r="J609" s="7">
        <v>45048</v>
      </c>
      <c r="K609" s="7">
        <f t="shared" si="33"/>
        <v>45768</v>
      </c>
      <c r="L609" s="17" t="s">
        <v>99</v>
      </c>
    </row>
    <row r="610" spans="1:12" s="13" customFormat="1" ht="18" customHeight="1" x14ac:dyDescent="0.2">
      <c r="A610" s="3" t="s">
        <v>1076</v>
      </c>
      <c r="B610" s="3" t="s">
        <v>1077</v>
      </c>
      <c r="C610" s="3" t="s">
        <v>41</v>
      </c>
      <c r="D610" s="4" t="s">
        <v>1231</v>
      </c>
      <c r="E610" s="4" t="s">
        <v>1231</v>
      </c>
      <c r="F610" s="16" t="s">
        <v>13</v>
      </c>
      <c r="G610" s="5" t="s">
        <v>276</v>
      </c>
      <c r="H610" s="5" t="s">
        <v>163</v>
      </c>
      <c r="I610" s="42">
        <v>2311421</v>
      </c>
      <c r="J610" s="7">
        <v>45048</v>
      </c>
      <c r="K610" s="7">
        <f t="shared" si="33"/>
        <v>45768</v>
      </c>
      <c r="L610" s="17" t="s">
        <v>1257</v>
      </c>
    </row>
    <row r="611" spans="1:12" s="13" customFormat="1" ht="18" customHeight="1" x14ac:dyDescent="0.2">
      <c r="A611" s="65" t="s">
        <v>1076</v>
      </c>
      <c r="B611" s="3" t="s">
        <v>1077</v>
      </c>
      <c r="C611" s="3" t="s">
        <v>41</v>
      </c>
      <c r="D611" s="4" t="s">
        <v>1232</v>
      </c>
      <c r="E611" s="4" t="s">
        <v>1232</v>
      </c>
      <c r="F611" s="16" t="s">
        <v>13</v>
      </c>
      <c r="G611" s="5" t="s">
        <v>276</v>
      </c>
      <c r="H611" s="5" t="s">
        <v>163</v>
      </c>
      <c r="I611" s="42">
        <v>2311422</v>
      </c>
      <c r="J611" s="7">
        <v>45048</v>
      </c>
      <c r="K611" s="7">
        <f t="shared" si="33"/>
        <v>45768</v>
      </c>
      <c r="L611" s="17" t="s">
        <v>1257</v>
      </c>
    </row>
    <row r="612" spans="1:12" s="13" customFormat="1" ht="18" customHeight="1" x14ac:dyDescent="0.2">
      <c r="A612" s="3" t="s">
        <v>1076</v>
      </c>
      <c r="B612" s="3" t="s">
        <v>1077</v>
      </c>
      <c r="C612" s="3" t="s">
        <v>41</v>
      </c>
      <c r="D612" s="4" t="s">
        <v>1233</v>
      </c>
      <c r="E612" s="4" t="s">
        <v>1233</v>
      </c>
      <c r="F612" s="16" t="s">
        <v>13</v>
      </c>
      <c r="G612" s="5" t="s">
        <v>276</v>
      </c>
      <c r="H612" s="5" t="s">
        <v>163</v>
      </c>
      <c r="I612" s="42">
        <v>2311423</v>
      </c>
      <c r="J612" s="7">
        <v>45048</v>
      </c>
      <c r="K612" s="7">
        <f t="shared" si="33"/>
        <v>45768</v>
      </c>
      <c r="L612" s="17" t="s">
        <v>99</v>
      </c>
    </row>
    <row r="613" spans="1:12" s="13" customFormat="1" ht="18" customHeight="1" x14ac:dyDescent="0.2">
      <c r="A613" s="3" t="s">
        <v>1076</v>
      </c>
      <c r="B613" s="3" t="s">
        <v>1077</v>
      </c>
      <c r="C613" s="3" t="s">
        <v>41</v>
      </c>
      <c r="D613" s="4" t="s">
        <v>1234</v>
      </c>
      <c r="E613" s="4" t="s">
        <v>1234</v>
      </c>
      <c r="F613" s="16" t="s">
        <v>13</v>
      </c>
      <c r="G613" s="5" t="s">
        <v>276</v>
      </c>
      <c r="H613" s="5" t="s">
        <v>163</v>
      </c>
      <c r="I613" s="42">
        <v>2311424</v>
      </c>
      <c r="J613" s="7">
        <v>45048</v>
      </c>
      <c r="K613" s="7">
        <f t="shared" si="33"/>
        <v>45768</v>
      </c>
      <c r="L613" s="17" t="s">
        <v>1257</v>
      </c>
    </row>
    <row r="614" spans="1:12" s="13" customFormat="1" ht="18" customHeight="1" x14ac:dyDescent="0.2">
      <c r="A614" s="3" t="s">
        <v>1076</v>
      </c>
      <c r="B614" s="3" t="s">
        <v>1077</v>
      </c>
      <c r="C614" s="3" t="s">
        <v>41</v>
      </c>
      <c r="D614" s="4" t="s">
        <v>1286</v>
      </c>
      <c r="E614" s="4" t="s">
        <v>1286</v>
      </c>
      <c r="F614" s="16" t="s">
        <v>13</v>
      </c>
      <c r="G614" s="5" t="s">
        <v>42</v>
      </c>
      <c r="H614" s="5" t="s">
        <v>163</v>
      </c>
      <c r="I614" s="42">
        <v>2421265</v>
      </c>
      <c r="J614" s="7">
        <v>45492</v>
      </c>
      <c r="K614" s="7">
        <f t="shared" si="33"/>
        <v>46212</v>
      </c>
      <c r="L614" s="17" t="s">
        <v>99</v>
      </c>
    </row>
    <row r="615" spans="1:12" s="13" customFormat="1" ht="18" customHeight="1" x14ac:dyDescent="0.2">
      <c r="A615" s="3" t="s">
        <v>1076</v>
      </c>
      <c r="B615" s="3" t="s">
        <v>1077</v>
      </c>
      <c r="C615" s="3" t="s">
        <v>41</v>
      </c>
      <c r="D615" s="4" t="s">
        <v>1287</v>
      </c>
      <c r="E615" s="4" t="s">
        <v>1287</v>
      </c>
      <c r="F615" s="16" t="s">
        <v>13</v>
      </c>
      <c r="G615" s="5" t="s">
        <v>42</v>
      </c>
      <c r="H615" s="5" t="s">
        <v>163</v>
      </c>
      <c r="I615" s="42">
        <v>2421266</v>
      </c>
      <c r="J615" s="7">
        <v>45492</v>
      </c>
      <c r="K615" s="7">
        <f t="shared" si="33"/>
        <v>46212</v>
      </c>
      <c r="L615" s="17" t="s">
        <v>1257</v>
      </c>
    </row>
    <row r="616" spans="1:12" s="13" customFormat="1" ht="18" customHeight="1" x14ac:dyDescent="0.2">
      <c r="A616" s="3" t="s">
        <v>1076</v>
      </c>
      <c r="B616" s="3" t="s">
        <v>1293</v>
      </c>
      <c r="C616" s="3" t="s">
        <v>41</v>
      </c>
      <c r="D616" s="74" t="s">
        <v>1290</v>
      </c>
      <c r="E616" s="4" t="s">
        <v>1290</v>
      </c>
      <c r="F616" s="16" t="s">
        <v>13</v>
      </c>
      <c r="G616" s="5" t="s">
        <v>42</v>
      </c>
      <c r="H616" s="5" t="s">
        <v>163</v>
      </c>
      <c r="I616" s="42">
        <v>2421267</v>
      </c>
      <c r="J616" s="7">
        <v>45492</v>
      </c>
      <c r="K616" s="7">
        <f t="shared" si="33"/>
        <v>46212</v>
      </c>
      <c r="L616" s="17" t="s">
        <v>1257</v>
      </c>
    </row>
    <row r="617" spans="1:12" s="13" customFormat="1" ht="18" customHeight="1" x14ac:dyDescent="0.2">
      <c r="A617" s="3" t="s">
        <v>1076</v>
      </c>
      <c r="B617" s="3" t="s">
        <v>1293</v>
      </c>
      <c r="C617" s="3" t="s">
        <v>41</v>
      </c>
      <c r="D617" s="4" t="s">
        <v>1352</v>
      </c>
      <c r="E617" s="4" t="s">
        <v>1338</v>
      </c>
      <c r="F617" s="16" t="s">
        <v>13</v>
      </c>
      <c r="G617" s="5" t="s">
        <v>520</v>
      </c>
      <c r="H617" s="5" t="s">
        <v>163</v>
      </c>
      <c r="I617" s="42">
        <v>2423159</v>
      </c>
      <c r="J617" s="7">
        <v>45498</v>
      </c>
      <c r="K617" s="7">
        <f t="shared" si="33"/>
        <v>46218</v>
      </c>
      <c r="L617" s="17" t="s">
        <v>99</v>
      </c>
    </row>
    <row r="618" spans="1:12" s="13" customFormat="1" ht="18" customHeight="1" x14ac:dyDescent="0.2">
      <c r="A618" s="3" t="s">
        <v>1076</v>
      </c>
      <c r="B618" s="3" t="s">
        <v>1293</v>
      </c>
      <c r="C618" s="3" t="s">
        <v>41</v>
      </c>
      <c r="D618" s="4" t="s">
        <v>1291</v>
      </c>
      <c r="E618" s="4" t="s">
        <v>1291</v>
      </c>
      <c r="F618" s="16" t="s">
        <v>13</v>
      </c>
      <c r="G618" s="5" t="s">
        <v>42</v>
      </c>
      <c r="H618" s="5" t="s">
        <v>163</v>
      </c>
      <c r="I618" s="42">
        <v>2421268</v>
      </c>
      <c r="J618" s="7">
        <v>45492</v>
      </c>
      <c r="K618" s="7">
        <f t="shared" ref="K618:K659" si="34">J618+720</f>
        <v>46212</v>
      </c>
      <c r="L618" s="17" t="s">
        <v>99</v>
      </c>
    </row>
    <row r="619" spans="1:12" s="13" customFormat="1" ht="18" customHeight="1" x14ac:dyDescent="0.2">
      <c r="A619" s="3" t="s">
        <v>1076</v>
      </c>
      <c r="B619" s="3" t="s">
        <v>1293</v>
      </c>
      <c r="C619" s="3" t="s">
        <v>41</v>
      </c>
      <c r="D619" s="4" t="s">
        <v>1353</v>
      </c>
      <c r="E619" s="4" t="s">
        <v>1339</v>
      </c>
      <c r="F619" s="16" t="s">
        <v>13</v>
      </c>
      <c r="G619" s="5" t="s">
        <v>520</v>
      </c>
      <c r="H619" s="5" t="s">
        <v>163</v>
      </c>
      <c r="I619" s="42">
        <v>2423160</v>
      </c>
      <c r="J619" s="7">
        <v>45498</v>
      </c>
      <c r="K619" s="7">
        <f t="shared" si="34"/>
        <v>46218</v>
      </c>
      <c r="L619" s="17" t="s">
        <v>1609</v>
      </c>
    </row>
    <row r="620" spans="1:12" s="13" customFormat="1" ht="18" customHeight="1" x14ac:dyDescent="0.2">
      <c r="A620" s="3" t="s">
        <v>1076</v>
      </c>
      <c r="B620" s="3" t="s">
        <v>1293</v>
      </c>
      <c r="C620" s="3" t="s">
        <v>41</v>
      </c>
      <c r="D620" s="74" t="s">
        <v>1292</v>
      </c>
      <c r="E620" s="4" t="s">
        <v>1292</v>
      </c>
      <c r="F620" s="16" t="s">
        <v>13</v>
      </c>
      <c r="G620" s="5" t="s">
        <v>42</v>
      </c>
      <c r="H620" s="5" t="s">
        <v>163</v>
      </c>
      <c r="I620" s="42">
        <v>2421269</v>
      </c>
      <c r="J620" s="7">
        <v>45492</v>
      </c>
      <c r="K620" s="7">
        <f t="shared" si="34"/>
        <v>46212</v>
      </c>
      <c r="L620" s="17" t="s">
        <v>1257</v>
      </c>
    </row>
    <row r="621" spans="1:12" s="13" customFormat="1" ht="18" customHeight="1" x14ac:dyDescent="0.2">
      <c r="A621" s="3" t="s">
        <v>1076</v>
      </c>
      <c r="B621" s="3" t="s">
        <v>1293</v>
      </c>
      <c r="C621" s="3" t="s">
        <v>41</v>
      </c>
      <c r="D621" s="4" t="s">
        <v>1354</v>
      </c>
      <c r="E621" s="4" t="s">
        <v>1340</v>
      </c>
      <c r="F621" s="16" t="s">
        <v>13</v>
      </c>
      <c r="G621" s="5" t="s">
        <v>520</v>
      </c>
      <c r="H621" s="5" t="s">
        <v>163</v>
      </c>
      <c r="I621" s="42">
        <v>2423161</v>
      </c>
      <c r="J621" s="7">
        <v>45498</v>
      </c>
      <c r="K621" s="7">
        <f t="shared" si="34"/>
        <v>46218</v>
      </c>
      <c r="L621" s="17" t="s">
        <v>1257</v>
      </c>
    </row>
    <row r="622" spans="1:12" s="13" customFormat="1" ht="18" customHeight="1" x14ac:dyDescent="0.2">
      <c r="A622" s="3" t="s">
        <v>1076</v>
      </c>
      <c r="B622" s="3" t="s">
        <v>1293</v>
      </c>
      <c r="C622" s="3" t="s">
        <v>41</v>
      </c>
      <c r="D622" s="4" t="s">
        <v>1325</v>
      </c>
      <c r="E622" s="4" t="s">
        <v>1325</v>
      </c>
      <c r="F622" s="16" t="s">
        <v>13</v>
      </c>
      <c r="G622" s="5" t="s">
        <v>42</v>
      </c>
      <c r="H622" s="5" t="s">
        <v>163</v>
      </c>
      <c r="I622" s="42">
        <v>2421270</v>
      </c>
      <c r="J622" s="7">
        <v>45492</v>
      </c>
      <c r="K622" s="7">
        <f t="shared" si="34"/>
        <v>46212</v>
      </c>
      <c r="L622" s="17" t="s">
        <v>99</v>
      </c>
    </row>
    <row r="623" spans="1:12" s="13" customFormat="1" ht="18" customHeight="1" x14ac:dyDescent="0.2">
      <c r="A623" s="3" t="s">
        <v>1076</v>
      </c>
      <c r="B623" s="3" t="s">
        <v>1293</v>
      </c>
      <c r="C623" s="3" t="s">
        <v>41</v>
      </c>
      <c r="D623" s="4" t="s">
        <v>1326</v>
      </c>
      <c r="E623" s="4" t="s">
        <v>1326</v>
      </c>
      <c r="F623" s="16" t="s">
        <v>13</v>
      </c>
      <c r="G623" s="5" t="s">
        <v>42</v>
      </c>
      <c r="H623" s="5" t="s">
        <v>163</v>
      </c>
      <c r="I623" s="42">
        <v>2421279</v>
      </c>
      <c r="J623" s="7">
        <v>45492</v>
      </c>
      <c r="K623" s="7">
        <f t="shared" si="34"/>
        <v>46212</v>
      </c>
      <c r="L623" s="17" t="s">
        <v>99</v>
      </c>
    </row>
    <row r="624" spans="1:12" s="13" customFormat="1" ht="18" customHeight="1" x14ac:dyDescent="0.2">
      <c r="A624" s="3" t="s">
        <v>1076</v>
      </c>
      <c r="B624" s="3" t="s">
        <v>1293</v>
      </c>
      <c r="C624" s="3" t="s">
        <v>41</v>
      </c>
      <c r="D624" s="4" t="s">
        <v>1327</v>
      </c>
      <c r="E624" s="4" t="s">
        <v>1327</v>
      </c>
      <c r="F624" s="16" t="s">
        <v>13</v>
      </c>
      <c r="G624" s="5" t="s">
        <v>42</v>
      </c>
      <c r="H624" s="5" t="s">
        <v>163</v>
      </c>
      <c r="I624" s="42">
        <v>2421271</v>
      </c>
      <c r="J624" s="7">
        <v>45492</v>
      </c>
      <c r="K624" s="7">
        <f t="shared" si="34"/>
        <v>46212</v>
      </c>
      <c r="L624" s="17" t="s">
        <v>99</v>
      </c>
    </row>
    <row r="625" spans="1:12" s="13" customFormat="1" ht="18" customHeight="1" x14ac:dyDescent="0.2">
      <c r="A625" s="3" t="s">
        <v>1076</v>
      </c>
      <c r="B625" s="3" t="s">
        <v>1293</v>
      </c>
      <c r="C625" s="3" t="s">
        <v>41</v>
      </c>
      <c r="D625" s="4" t="s">
        <v>1328</v>
      </c>
      <c r="E625" s="4" t="s">
        <v>1328</v>
      </c>
      <c r="F625" s="16" t="s">
        <v>13</v>
      </c>
      <c r="G625" s="5" t="s">
        <v>42</v>
      </c>
      <c r="H625" s="5" t="s">
        <v>163</v>
      </c>
      <c r="I625" s="42">
        <v>2421272</v>
      </c>
      <c r="J625" s="7">
        <v>45492</v>
      </c>
      <c r="K625" s="7">
        <f t="shared" si="34"/>
        <v>46212</v>
      </c>
      <c r="L625" s="17" t="s">
        <v>99</v>
      </c>
    </row>
    <row r="626" spans="1:12" s="13" customFormat="1" ht="18" customHeight="1" x14ac:dyDescent="0.2">
      <c r="A626" s="3" t="s">
        <v>1076</v>
      </c>
      <c r="B626" s="3" t="s">
        <v>1293</v>
      </c>
      <c r="C626" s="3" t="s">
        <v>41</v>
      </c>
      <c r="D626" s="4" t="s">
        <v>1329</v>
      </c>
      <c r="E626" s="4" t="s">
        <v>1329</v>
      </c>
      <c r="F626" s="16" t="s">
        <v>13</v>
      </c>
      <c r="G626" s="5" t="s">
        <v>42</v>
      </c>
      <c r="H626" s="5" t="s">
        <v>163</v>
      </c>
      <c r="I626" s="42">
        <v>2421273</v>
      </c>
      <c r="J626" s="7">
        <v>45492</v>
      </c>
      <c r="K626" s="7">
        <f t="shared" si="34"/>
        <v>46212</v>
      </c>
      <c r="L626" s="17" t="s">
        <v>1257</v>
      </c>
    </row>
    <row r="627" spans="1:12" s="13" customFormat="1" ht="18" customHeight="1" x14ac:dyDescent="0.2">
      <c r="A627" s="3" t="s">
        <v>1076</v>
      </c>
      <c r="B627" s="3" t="s">
        <v>1293</v>
      </c>
      <c r="C627" s="3" t="s">
        <v>41</v>
      </c>
      <c r="D627" s="4" t="s">
        <v>1330</v>
      </c>
      <c r="E627" s="4" t="s">
        <v>1330</v>
      </c>
      <c r="F627" s="16" t="s">
        <v>13</v>
      </c>
      <c r="G627" s="5" t="s">
        <v>42</v>
      </c>
      <c r="H627" s="5" t="s">
        <v>163</v>
      </c>
      <c r="I627" s="42">
        <v>2421274</v>
      </c>
      <c r="J627" s="7">
        <v>45492</v>
      </c>
      <c r="K627" s="7">
        <f t="shared" si="34"/>
        <v>46212</v>
      </c>
      <c r="L627" s="17" t="s">
        <v>99</v>
      </c>
    </row>
    <row r="628" spans="1:12" s="13" customFormat="1" ht="18" customHeight="1" x14ac:dyDescent="0.2">
      <c r="A628" s="3" t="s">
        <v>1076</v>
      </c>
      <c r="B628" s="3" t="s">
        <v>1293</v>
      </c>
      <c r="C628" s="3" t="s">
        <v>41</v>
      </c>
      <c r="D628" s="4" t="s">
        <v>1331</v>
      </c>
      <c r="E628" s="4" t="s">
        <v>1331</v>
      </c>
      <c r="F628" s="16" t="s">
        <v>13</v>
      </c>
      <c r="G628" s="5" t="s">
        <v>42</v>
      </c>
      <c r="H628" s="5" t="s">
        <v>163</v>
      </c>
      <c r="I628" s="42">
        <v>2421275</v>
      </c>
      <c r="J628" s="7">
        <v>45492</v>
      </c>
      <c r="K628" s="7">
        <f t="shared" si="34"/>
        <v>46212</v>
      </c>
      <c r="L628" s="17" t="s">
        <v>99</v>
      </c>
    </row>
    <row r="629" spans="1:12" s="13" customFormat="1" ht="18" customHeight="1" x14ac:dyDescent="0.2">
      <c r="A629" s="3" t="s">
        <v>1076</v>
      </c>
      <c r="B629" s="3" t="s">
        <v>1293</v>
      </c>
      <c r="C629" s="3" t="s">
        <v>41</v>
      </c>
      <c r="D629" s="4" t="s">
        <v>1332</v>
      </c>
      <c r="E629" s="4" t="s">
        <v>1332</v>
      </c>
      <c r="F629" s="16" t="s">
        <v>13</v>
      </c>
      <c r="G629" s="5" t="s">
        <v>42</v>
      </c>
      <c r="H629" s="5" t="s">
        <v>163</v>
      </c>
      <c r="I629" s="42">
        <v>2421276</v>
      </c>
      <c r="J629" s="7">
        <v>45492</v>
      </c>
      <c r="K629" s="7">
        <f t="shared" si="34"/>
        <v>46212</v>
      </c>
      <c r="L629" s="17" t="s">
        <v>1355</v>
      </c>
    </row>
    <row r="630" spans="1:12" s="13" customFormat="1" ht="18" customHeight="1" x14ac:dyDescent="0.2">
      <c r="A630" s="3" t="s">
        <v>1076</v>
      </c>
      <c r="B630" s="3" t="s">
        <v>1293</v>
      </c>
      <c r="C630" s="3" t="s">
        <v>41</v>
      </c>
      <c r="D630" s="4" t="s">
        <v>1333</v>
      </c>
      <c r="E630" s="4" t="s">
        <v>1333</v>
      </c>
      <c r="F630" s="16" t="s">
        <v>13</v>
      </c>
      <c r="G630" s="5" t="s">
        <v>42</v>
      </c>
      <c r="H630" s="5" t="s">
        <v>163</v>
      </c>
      <c r="I630" s="42">
        <v>2421277</v>
      </c>
      <c r="J630" s="7">
        <v>45492</v>
      </c>
      <c r="K630" s="7">
        <f t="shared" si="34"/>
        <v>46212</v>
      </c>
      <c r="L630" s="17" t="s">
        <v>1355</v>
      </c>
    </row>
    <row r="631" spans="1:12" s="13" customFormat="1" ht="18" customHeight="1" x14ac:dyDescent="0.2">
      <c r="A631" s="3" t="s">
        <v>1076</v>
      </c>
      <c r="B631" s="3" t="s">
        <v>1293</v>
      </c>
      <c r="C631" s="3" t="s">
        <v>41</v>
      </c>
      <c r="D631" s="4" t="s">
        <v>1334</v>
      </c>
      <c r="E631" s="4" t="s">
        <v>1334</v>
      </c>
      <c r="F631" s="16" t="s">
        <v>13</v>
      </c>
      <c r="G631" s="5" t="s">
        <v>42</v>
      </c>
      <c r="H631" s="5" t="s">
        <v>163</v>
      </c>
      <c r="I631" s="42">
        <v>2421278</v>
      </c>
      <c r="J631" s="7">
        <v>45492</v>
      </c>
      <c r="K631" s="7">
        <f t="shared" si="34"/>
        <v>46212</v>
      </c>
      <c r="L631" s="17" t="s">
        <v>99</v>
      </c>
    </row>
    <row r="632" spans="1:12" s="13" customFormat="1" ht="18" customHeight="1" x14ac:dyDescent="0.2">
      <c r="A632" s="3" t="s">
        <v>1076</v>
      </c>
      <c r="B632" s="3" t="s">
        <v>1337</v>
      </c>
      <c r="C632" s="3" t="s">
        <v>41</v>
      </c>
      <c r="D632" s="4" t="s">
        <v>1335</v>
      </c>
      <c r="E632" s="4" t="s">
        <v>1335</v>
      </c>
      <c r="F632" s="16" t="s">
        <v>13</v>
      </c>
      <c r="G632" s="5" t="s">
        <v>1342</v>
      </c>
      <c r="H632" s="5" t="s">
        <v>163</v>
      </c>
      <c r="I632" s="42">
        <v>2421280</v>
      </c>
      <c r="J632" s="7">
        <v>45492</v>
      </c>
      <c r="K632" s="7">
        <f t="shared" si="34"/>
        <v>46212</v>
      </c>
      <c r="L632" s="17" t="s">
        <v>99</v>
      </c>
    </row>
    <row r="633" spans="1:12" s="13" customFormat="1" ht="18" customHeight="1" x14ac:dyDescent="0.2">
      <c r="A633" s="3" t="s">
        <v>1076</v>
      </c>
      <c r="B633" s="3" t="s">
        <v>1337</v>
      </c>
      <c r="C633" s="3" t="s">
        <v>41</v>
      </c>
      <c r="D633" s="4" t="s">
        <v>1336</v>
      </c>
      <c r="E633" s="4" t="s">
        <v>1336</v>
      </c>
      <c r="F633" s="16" t="s">
        <v>13</v>
      </c>
      <c r="G633" s="5" t="s">
        <v>1342</v>
      </c>
      <c r="H633" s="5" t="s">
        <v>163</v>
      </c>
      <c r="I633" s="42">
        <v>2421281</v>
      </c>
      <c r="J633" s="7">
        <v>45492</v>
      </c>
      <c r="K633" s="7">
        <f t="shared" si="34"/>
        <v>46212</v>
      </c>
      <c r="L633" s="17" t="s">
        <v>99</v>
      </c>
    </row>
    <row r="634" spans="1:12" s="13" customFormat="1" ht="18" customHeight="1" x14ac:dyDescent="0.2">
      <c r="A634" s="3" t="s">
        <v>1076</v>
      </c>
      <c r="B634" s="3" t="s">
        <v>1337</v>
      </c>
      <c r="C634" s="3" t="s">
        <v>41</v>
      </c>
      <c r="D634" s="4" t="s">
        <v>1341</v>
      </c>
      <c r="E634" s="4" t="s">
        <v>1341</v>
      </c>
      <c r="F634" s="16" t="s">
        <v>13</v>
      </c>
      <c r="G634" s="5" t="s">
        <v>1342</v>
      </c>
      <c r="H634" s="5" t="s">
        <v>163</v>
      </c>
      <c r="I634" s="42">
        <v>2421282</v>
      </c>
      <c r="J634" s="7">
        <v>45492</v>
      </c>
      <c r="K634" s="7">
        <f t="shared" si="34"/>
        <v>46212</v>
      </c>
      <c r="L634" s="17" t="s">
        <v>99</v>
      </c>
    </row>
    <row r="635" spans="1:12" s="13" customFormat="1" ht="18" customHeight="1" x14ac:dyDescent="0.2">
      <c r="A635" s="3" t="s">
        <v>1076</v>
      </c>
      <c r="B635" s="3" t="s">
        <v>1337</v>
      </c>
      <c r="C635" s="3" t="s">
        <v>41</v>
      </c>
      <c r="D635" s="4" t="s">
        <v>1343</v>
      </c>
      <c r="E635" s="4" t="s">
        <v>1343</v>
      </c>
      <c r="F635" s="16" t="s">
        <v>13</v>
      </c>
      <c r="G635" s="5" t="s">
        <v>1342</v>
      </c>
      <c r="H635" s="5" t="s">
        <v>163</v>
      </c>
      <c r="I635" s="42">
        <v>2421283</v>
      </c>
      <c r="J635" s="7">
        <v>45492</v>
      </c>
      <c r="K635" s="7">
        <f t="shared" si="34"/>
        <v>46212</v>
      </c>
      <c r="L635" s="17" t="s">
        <v>99</v>
      </c>
    </row>
    <row r="636" spans="1:12" s="13" customFormat="1" ht="18" customHeight="1" x14ac:dyDescent="0.2">
      <c r="A636" s="3" t="s">
        <v>1076</v>
      </c>
      <c r="B636" s="3" t="s">
        <v>1337</v>
      </c>
      <c r="C636" s="3" t="s">
        <v>41</v>
      </c>
      <c r="D636" s="4" t="s">
        <v>1344</v>
      </c>
      <c r="E636" s="4" t="s">
        <v>1344</v>
      </c>
      <c r="F636" s="16" t="s">
        <v>13</v>
      </c>
      <c r="G636" s="5" t="s">
        <v>1342</v>
      </c>
      <c r="H636" s="5" t="s">
        <v>163</v>
      </c>
      <c r="I636" s="42">
        <v>2421284</v>
      </c>
      <c r="J636" s="7">
        <v>45492</v>
      </c>
      <c r="K636" s="7">
        <f t="shared" si="34"/>
        <v>46212</v>
      </c>
      <c r="L636" s="17" t="s">
        <v>99</v>
      </c>
    </row>
    <row r="637" spans="1:12" s="13" customFormat="1" ht="18" customHeight="1" x14ac:dyDescent="0.2">
      <c r="A637" s="3" t="s">
        <v>1076</v>
      </c>
      <c r="B637" s="3" t="s">
        <v>1337</v>
      </c>
      <c r="C637" s="3" t="s">
        <v>41</v>
      </c>
      <c r="D637" s="4" t="s">
        <v>1345</v>
      </c>
      <c r="E637" s="4" t="s">
        <v>1345</v>
      </c>
      <c r="F637" s="16" t="s">
        <v>13</v>
      </c>
      <c r="G637" s="5" t="s">
        <v>1342</v>
      </c>
      <c r="H637" s="5" t="s">
        <v>163</v>
      </c>
      <c r="I637" s="42">
        <v>2421285</v>
      </c>
      <c r="J637" s="7">
        <v>45492</v>
      </c>
      <c r="K637" s="7">
        <f t="shared" si="34"/>
        <v>46212</v>
      </c>
      <c r="L637" s="17" t="s">
        <v>99</v>
      </c>
    </row>
    <row r="638" spans="1:12" s="13" customFormat="1" ht="18" customHeight="1" x14ac:dyDescent="0.2">
      <c r="A638" s="3" t="s">
        <v>1076</v>
      </c>
      <c r="B638" s="3" t="s">
        <v>1337</v>
      </c>
      <c r="C638" s="3" t="s">
        <v>41</v>
      </c>
      <c r="D638" s="4" t="s">
        <v>1346</v>
      </c>
      <c r="E638" s="4" t="s">
        <v>1346</v>
      </c>
      <c r="F638" s="16" t="s">
        <v>13</v>
      </c>
      <c r="G638" s="5" t="s">
        <v>1342</v>
      </c>
      <c r="H638" s="5" t="s">
        <v>163</v>
      </c>
      <c r="I638" s="42">
        <v>2421286</v>
      </c>
      <c r="J638" s="7">
        <v>45492</v>
      </c>
      <c r="K638" s="7">
        <f t="shared" si="34"/>
        <v>46212</v>
      </c>
      <c r="L638" s="17" t="s">
        <v>99</v>
      </c>
    </row>
    <row r="639" spans="1:12" s="13" customFormat="1" ht="18" customHeight="1" x14ac:dyDescent="0.2">
      <c r="A639" s="3" t="s">
        <v>1076</v>
      </c>
      <c r="B639" s="3" t="s">
        <v>1337</v>
      </c>
      <c r="C639" s="3" t="s">
        <v>41</v>
      </c>
      <c r="D639" s="4" t="s">
        <v>1347</v>
      </c>
      <c r="E639" s="4" t="s">
        <v>1347</v>
      </c>
      <c r="F639" s="16" t="s">
        <v>13</v>
      </c>
      <c r="G639" s="5" t="s">
        <v>1342</v>
      </c>
      <c r="H639" s="5" t="s">
        <v>163</v>
      </c>
      <c r="I639" s="42">
        <v>2421287</v>
      </c>
      <c r="J639" s="7">
        <v>45492</v>
      </c>
      <c r="K639" s="7">
        <f t="shared" si="34"/>
        <v>46212</v>
      </c>
      <c r="L639" s="17" t="s">
        <v>99</v>
      </c>
    </row>
    <row r="640" spans="1:12" s="13" customFormat="1" ht="18" customHeight="1" x14ac:dyDescent="0.2">
      <c r="A640" s="3" t="s">
        <v>1076</v>
      </c>
      <c r="B640" s="3" t="s">
        <v>1337</v>
      </c>
      <c r="C640" s="3" t="s">
        <v>41</v>
      </c>
      <c r="D640" s="4" t="s">
        <v>1348</v>
      </c>
      <c r="E640" s="4" t="s">
        <v>1348</v>
      </c>
      <c r="F640" s="16" t="s">
        <v>13</v>
      </c>
      <c r="G640" s="5" t="s">
        <v>1342</v>
      </c>
      <c r="H640" s="5" t="s">
        <v>163</v>
      </c>
      <c r="I640" s="42">
        <v>2421288</v>
      </c>
      <c r="J640" s="7">
        <v>45492</v>
      </c>
      <c r="K640" s="7">
        <f t="shared" si="34"/>
        <v>46212</v>
      </c>
      <c r="L640" s="17" t="s">
        <v>99</v>
      </c>
    </row>
    <row r="641" spans="1:12" s="13" customFormat="1" ht="18" customHeight="1" x14ac:dyDescent="0.2">
      <c r="A641" s="3" t="s">
        <v>1076</v>
      </c>
      <c r="B641" s="3" t="s">
        <v>1077</v>
      </c>
      <c r="C641" s="3" t="s">
        <v>41</v>
      </c>
      <c r="D641" s="4" t="s">
        <v>1400</v>
      </c>
      <c r="E641" s="4" t="s">
        <v>1400</v>
      </c>
      <c r="F641" s="16" t="s">
        <v>13</v>
      </c>
      <c r="G641" s="5" t="s">
        <v>42</v>
      </c>
      <c r="H641" s="5" t="s">
        <v>163</v>
      </c>
      <c r="I641" s="42">
        <v>2500651</v>
      </c>
      <c r="J641" s="7">
        <v>45665</v>
      </c>
      <c r="K641" s="7">
        <f t="shared" si="34"/>
        <v>46385</v>
      </c>
      <c r="L641" s="17" t="s">
        <v>1548</v>
      </c>
    </row>
    <row r="642" spans="1:12" s="13" customFormat="1" ht="18" customHeight="1" x14ac:dyDescent="0.2">
      <c r="A642" s="3" t="s">
        <v>1076</v>
      </c>
      <c r="B642" s="3" t="s">
        <v>1077</v>
      </c>
      <c r="C642" s="3" t="s">
        <v>41</v>
      </c>
      <c r="D642" s="4" t="s">
        <v>1401</v>
      </c>
      <c r="E642" s="4" t="s">
        <v>1401</v>
      </c>
      <c r="F642" s="16" t="s">
        <v>13</v>
      </c>
      <c r="G642" s="5" t="s">
        <v>42</v>
      </c>
      <c r="H642" s="5" t="s">
        <v>163</v>
      </c>
      <c r="I642" s="42">
        <v>2500652</v>
      </c>
      <c r="J642" s="7">
        <v>45665</v>
      </c>
      <c r="K642" s="7">
        <f t="shared" si="34"/>
        <v>46385</v>
      </c>
      <c r="L642" s="17" t="s">
        <v>1257</v>
      </c>
    </row>
    <row r="643" spans="1:12" s="13" customFormat="1" ht="18" customHeight="1" x14ac:dyDescent="0.2">
      <c r="A643" s="3" t="s">
        <v>1076</v>
      </c>
      <c r="B643" s="3" t="s">
        <v>1077</v>
      </c>
      <c r="C643" s="3" t="s">
        <v>41</v>
      </c>
      <c r="D643" s="4" t="s">
        <v>1402</v>
      </c>
      <c r="E643" s="4" t="s">
        <v>1402</v>
      </c>
      <c r="F643" s="16" t="s">
        <v>13</v>
      </c>
      <c r="G643" s="5" t="s">
        <v>42</v>
      </c>
      <c r="H643" s="5" t="s">
        <v>163</v>
      </c>
      <c r="I643" s="42">
        <v>2500653</v>
      </c>
      <c r="J643" s="7">
        <v>45665</v>
      </c>
      <c r="K643" s="7">
        <f t="shared" si="34"/>
        <v>46385</v>
      </c>
      <c r="L643" s="17" t="s">
        <v>1257</v>
      </c>
    </row>
    <row r="644" spans="1:12" s="13" customFormat="1" ht="18" customHeight="1" x14ac:dyDescent="0.2">
      <c r="A644" s="3" t="s">
        <v>1076</v>
      </c>
      <c r="B644" s="3" t="s">
        <v>1077</v>
      </c>
      <c r="C644" s="3" t="s">
        <v>41</v>
      </c>
      <c r="D644" s="74" t="s">
        <v>1403</v>
      </c>
      <c r="E644" s="4" t="s">
        <v>1403</v>
      </c>
      <c r="F644" s="16" t="s">
        <v>13</v>
      </c>
      <c r="G644" s="5" t="s">
        <v>42</v>
      </c>
      <c r="H644" s="5" t="s">
        <v>163</v>
      </c>
      <c r="I644" s="42">
        <v>2500654</v>
      </c>
      <c r="J644" s="7">
        <v>45665</v>
      </c>
      <c r="K644" s="7">
        <f t="shared" si="34"/>
        <v>46385</v>
      </c>
      <c r="L644" s="17" t="s">
        <v>1257</v>
      </c>
    </row>
    <row r="645" spans="1:12" s="13" customFormat="1" ht="18" customHeight="1" x14ac:dyDescent="0.2">
      <c r="A645" s="3" t="s">
        <v>1076</v>
      </c>
      <c r="B645" s="3" t="s">
        <v>1078</v>
      </c>
      <c r="C645" s="3" t="s">
        <v>41</v>
      </c>
      <c r="D645" s="4" t="s">
        <v>1404</v>
      </c>
      <c r="E645" s="4" t="s">
        <v>1404</v>
      </c>
      <c r="F645" s="16" t="s">
        <v>13</v>
      </c>
      <c r="G645" s="5" t="s">
        <v>1342</v>
      </c>
      <c r="H645" s="5" t="s">
        <v>163</v>
      </c>
      <c r="I645" s="42">
        <v>2500655</v>
      </c>
      <c r="J645" s="7">
        <v>45665</v>
      </c>
      <c r="K645" s="7">
        <f t="shared" si="34"/>
        <v>46385</v>
      </c>
      <c r="L645" s="17" t="s">
        <v>1257</v>
      </c>
    </row>
    <row r="646" spans="1:12" s="13" customFormat="1" ht="18" customHeight="1" x14ac:dyDescent="0.2">
      <c r="A646" s="3" t="s">
        <v>1076</v>
      </c>
      <c r="B646" s="3" t="s">
        <v>1078</v>
      </c>
      <c r="C646" s="3" t="s">
        <v>41</v>
      </c>
      <c r="D646" s="4" t="s">
        <v>1405</v>
      </c>
      <c r="E646" s="4" t="s">
        <v>1405</v>
      </c>
      <c r="F646" s="16" t="s">
        <v>13</v>
      </c>
      <c r="G646" s="5" t="s">
        <v>1342</v>
      </c>
      <c r="H646" s="5" t="s">
        <v>163</v>
      </c>
      <c r="I646" s="42">
        <v>2500656</v>
      </c>
      <c r="J646" s="7">
        <v>45665</v>
      </c>
      <c r="K646" s="7">
        <f t="shared" si="34"/>
        <v>46385</v>
      </c>
      <c r="L646" s="17" t="s">
        <v>1257</v>
      </c>
    </row>
    <row r="647" spans="1:12" s="13" customFormat="1" ht="18" customHeight="1" x14ac:dyDescent="0.2">
      <c r="A647" s="3" t="s">
        <v>1076</v>
      </c>
      <c r="B647" s="3" t="s">
        <v>1078</v>
      </c>
      <c r="C647" s="3" t="s">
        <v>41</v>
      </c>
      <c r="D647" s="4" t="s">
        <v>1406</v>
      </c>
      <c r="E647" s="4" t="s">
        <v>1406</v>
      </c>
      <c r="F647" s="16" t="s">
        <v>13</v>
      </c>
      <c r="G647" s="5" t="s">
        <v>1342</v>
      </c>
      <c r="H647" s="5" t="s">
        <v>163</v>
      </c>
      <c r="I647" s="42">
        <v>2500657</v>
      </c>
      <c r="J647" s="7">
        <v>45665</v>
      </c>
      <c r="K647" s="7">
        <f t="shared" si="34"/>
        <v>46385</v>
      </c>
      <c r="L647" s="17" t="s">
        <v>1257</v>
      </c>
    </row>
    <row r="648" spans="1:12" s="13" customFormat="1" ht="18" customHeight="1" x14ac:dyDescent="0.2">
      <c r="A648" s="3" t="s">
        <v>1076</v>
      </c>
      <c r="B648" s="3" t="s">
        <v>1078</v>
      </c>
      <c r="C648" s="3" t="s">
        <v>41</v>
      </c>
      <c r="D648" s="74" t="s">
        <v>1407</v>
      </c>
      <c r="E648" s="4" t="s">
        <v>1407</v>
      </c>
      <c r="F648" s="16" t="s">
        <v>13</v>
      </c>
      <c r="G648" s="5" t="s">
        <v>1342</v>
      </c>
      <c r="H648" s="5" t="s">
        <v>163</v>
      </c>
      <c r="I648" s="42">
        <v>2500658</v>
      </c>
      <c r="J648" s="7">
        <v>45665</v>
      </c>
      <c r="K648" s="7">
        <f t="shared" si="34"/>
        <v>46385</v>
      </c>
      <c r="L648" s="17" t="s">
        <v>1257</v>
      </c>
    </row>
    <row r="649" spans="1:12" s="13" customFormat="1" ht="18" customHeight="1" x14ac:dyDescent="0.2">
      <c r="A649" s="3" t="s">
        <v>1076</v>
      </c>
      <c r="B649" s="3" t="s">
        <v>1075</v>
      </c>
      <c r="C649" s="3" t="s">
        <v>41</v>
      </c>
      <c r="D649" s="4" t="s">
        <v>1408</v>
      </c>
      <c r="E649" s="4" t="s">
        <v>1408</v>
      </c>
      <c r="F649" s="16" t="s">
        <v>13</v>
      </c>
      <c r="G649" s="5" t="s">
        <v>721</v>
      </c>
      <c r="H649" s="5" t="s">
        <v>163</v>
      </c>
      <c r="I649" s="42">
        <v>2500659</v>
      </c>
      <c r="J649" s="7">
        <v>45665</v>
      </c>
      <c r="K649" s="7">
        <f t="shared" si="34"/>
        <v>46385</v>
      </c>
      <c r="L649" s="17" t="s">
        <v>1257</v>
      </c>
    </row>
    <row r="650" spans="1:12" s="13" customFormat="1" ht="18" customHeight="1" x14ac:dyDescent="0.2">
      <c r="A650" s="3" t="s">
        <v>1076</v>
      </c>
      <c r="B650" s="3" t="s">
        <v>1075</v>
      </c>
      <c r="C650" s="3" t="s">
        <v>41</v>
      </c>
      <c r="D650" s="74" t="s">
        <v>1409</v>
      </c>
      <c r="E650" s="4" t="s">
        <v>1409</v>
      </c>
      <c r="F650" s="16" t="s">
        <v>13</v>
      </c>
      <c r="G650" s="5" t="s">
        <v>721</v>
      </c>
      <c r="H650" s="5" t="s">
        <v>163</v>
      </c>
      <c r="I650" s="42">
        <v>2500660</v>
      </c>
      <c r="J650" s="7">
        <v>45665</v>
      </c>
      <c r="K650" s="7">
        <f t="shared" si="34"/>
        <v>46385</v>
      </c>
      <c r="L650" s="17" t="s">
        <v>1257</v>
      </c>
    </row>
    <row r="651" spans="1:12" s="13" customFormat="1" ht="18" customHeight="1" x14ac:dyDescent="0.2">
      <c r="A651" s="3" t="s">
        <v>1076</v>
      </c>
      <c r="B651" s="3" t="s">
        <v>1077</v>
      </c>
      <c r="C651" s="3" t="s">
        <v>302</v>
      </c>
      <c r="D651" s="4" t="s">
        <v>363</v>
      </c>
      <c r="E651" s="4" t="s">
        <v>363</v>
      </c>
      <c r="F651" s="16" t="s">
        <v>13</v>
      </c>
      <c r="G651" s="5">
        <v>3100555</v>
      </c>
      <c r="H651" s="5" t="s">
        <v>171</v>
      </c>
      <c r="I651" s="6">
        <v>2001356</v>
      </c>
      <c r="J651" s="7">
        <v>43901</v>
      </c>
      <c r="K651" s="7">
        <f t="shared" si="34"/>
        <v>44621</v>
      </c>
      <c r="L651" s="17" t="s">
        <v>99</v>
      </c>
    </row>
    <row r="652" spans="1:12" s="13" customFormat="1" ht="18" customHeight="1" x14ac:dyDescent="0.2">
      <c r="A652" s="3" t="s">
        <v>1076</v>
      </c>
      <c r="B652" s="3" t="s">
        <v>1077</v>
      </c>
      <c r="C652" s="3" t="s">
        <v>302</v>
      </c>
      <c r="D652" s="4" t="s">
        <v>364</v>
      </c>
      <c r="E652" s="4" t="s">
        <v>364</v>
      </c>
      <c r="F652" s="16" t="s">
        <v>13</v>
      </c>
      <c r="G652" s="5">
        <v>3100555</v>
      </c>
      <c r="H652" s="5" t="s">
        <v>171</v>
      </c>
      <c r="I652" s="6">
        <v>2001357</v>
      </c>
      <c r="J652" s="7">
        <v>43901</v>
      </c>
      <c r="K652" s="7">
        <f t="shared" si="34"/>
        <v>44621</v>
      </c>
      <c r="L652" s="17" t="s">
        <v>99</v>
      </c>
    </row>
    <row r="653" spans="1:12" s="13" customFormat="1" ht="18" customHeight="1" x14ac:dyDescent="0.2">
      <c r="A653" s="3" t="s">
        <v>1076</v>
      </c>
      <c r="B653" s="3" t="s">
        <v>1075</v>
      </c>
      <c r="C653" s="3" t="s">
        <v>41</v>
      </c>
      <c r="D653" s="4" t="s">
        <v>571</v>
      </c>
      <c r="E653" s="4" t="s">
        <v>361</v>
      </c>
      <c r="F653" s="16" t="s">
        <v>13</v>
      </c>
      <c r="G653" s="5" t="s">
        <v>362</v>
      </c>
      <c r="H653" s="5" t="s">
        <v>163</v>
      </c>
      <c r="I653" s="6">
        <v>2217127</v>
      </c>
      <c r="J653" s="7">
        <v>44777</v>
      </c>
      <c r="K653" s="7">
        <f t="shared" si="34"/>
        <v>45497</v>
      </c>
      <c r="L653" s="17" t="s">
        <v>99</v>
      </c>
    </row>
    <row r="654" spans="1:12" s="13" customFormat="1" ht="18" customHeight="1" x14ac:dyDescent="0.2">
      <c r="A654" s="3" t="s">
        <v>1076</v>
      </c>
      <c r="B654" s="3" t="s">
        <v>1077</v>
      </c>
      <c r="C654" s="3" t="s">
        <v>41</v>
      </c>
      <c r="D654" s="4" t="s">
        <v>172</v>
      </c>
      <c r="E654" s="4" t="s">
        <v>172</v>
      </c>
      <c r="F654" s="16" t="s">
        <v>13</v>
      </c>
      <c r="G654" s="5" t="s">
        <v>42</v>
      </c>
      <c r="H654" s="5" t="s">
        <v>16</v>
      </c>
      <c r="I654" s="6" t="s">
        <v>173</v>
      </c>
      <c r="J654" s="7">
        <v>43260</v>
      </c>
      <c r="K654" s="7">
        <f t="shared" si="34"/>
        <v>43980</v>
      </c>
      <c r="L654" s="17" t="s">
        <v>99</v>
      </c>
    </row>
    <row r="655" spans="1:12" s="13" customFormat="1" ht="18" customHeight="1" x14ac:dyDescent="0.2">
      <c r="A655" s="3" t="s">
        <v>1076</v>
      </c>
      <c r="B655" s="3" t="s">
        <v>1078</v>
      </c>
      <c r="C655" s="3" t="s">
        <v>41</v>
      </c>
      <c r="D655" s="4" t="s">
        <v>620</v>
      </c>
      <c r="E655" s="4" t="s">
        <v>620</v>
      </c>
      <c r="F655" s="16" t="s">
        <v>13</v>
      </c>
      <c r="G655" s="5" t="s">
        <v>305</v>
      </c>
      <c r="H655" s="5" t="s">
        <v>163</v>
      </c>
      <c r="I655" s="6">
        <v>2212872</v>
      </c>
      <c r="J655" s="7">
        <v>44720</v>
      </c>
      <c r="K655" s="7">
        <f t="shared" si="34"/>
        <v>45440</v>
      </c>
      <c r="L655" s="17" t="s">
        <v>99</v>
      </c>
    </row>
    <row r="656" spans="1:12" s="13" customFormat="1" ht="18" customHeight="1" x14ac:dyDescent="0.2">
      <c r="A656" s="3" t="s">
        <v>1076</v>
      </c>
      <c r="B656" s="3" t="s">
        <v>1078</v>
      </c>
      <c r="C656" s="3" t="s">
        <v>41</v>
      </c>
      <c r="D656" s="4" t="s">
        <v>621</v>
      </c>
      <c r="E656" s="4" t="s">
        <v>621</v>
      </c>
      <c r="F656" s="16" t="s">
        <v>13</v>
      </c>
      <c r="G656" s="5" t="s">
        <v>305</v>
      </c>
      <c r="H656" s="5" t="s">
        <v>163</v>
      </c>
      <c r="I656" s="6">
        <v>2212873</v>
      </c>
      <c r="J656" s="7">
        <v>44720</v>
      </c>
      <c r="K656" s="7">
        <f t="shared" si="34"/>
        <v>45440</v>
      </c>
      <c r="L656" s="17" t="s">
        <v>99</v>
      </c>
    </row>
    <row r="657" spans="1:13" s="13" customFormat="1" ht="18" customHeight="1" x14ac:dyDescent="0.2">
      <c r="A657" s="3" t="s">
        <v>1076</v>
      </c>
      <c r="B657" s="3" t="s">
        <v>1124</v>
      </c>
      <c r="C657" s="3" t="s">
        <v>41</v>
      </c>
      <c r="D657" s="4" t="s">
        <v>622</v>
      </c>
      <c r="E657" s="4" t="s">
        <v>622</v>
      </c>
      <c r="F657" s="16" t="s">
        <v>13</v>
      </c>
      <c r="G657" s="5" t="s">
        <v>305</v>
      </c>
      <c r="H657" s="5" t="s">
        <v>163</v>
      </c>
      <c r="I657" s="6">
        <v>2212874</v>
      </c>
      <c r="J657" s="7">
        <v>44725</v>
      </c>
      <c r="K657" s="7">
        <f t="shared" si="34"/>
        <v>45445</v>
      </c>
      <c r="L657" s="17" t="s">
        <v>99</v>
      </c>
    </row>
    <row r="658" spans="1:13" s="13" customFormat="1" ht="18" customHeight="1" x14ac:dyDescent="0.2">
      <c r="A658" s="3" t="s">
        <v>1076</v>
      </c>
      <c r="B658" s="3" t="s">
        <v>1077</v>
      </c>
      <c r="C658" s="3" t="s">
        <v>46</v>
      </c>
      <c r="D658" s="4" t="s">
        <v>623</v>
      </c>
      <c r="E658" s="4" t="s">
        <v>623</v>
      </c>
      <c r="F658" s="16" t="s">
        <v>13</v>
      </c>
      <c r="G658" s="5" t="s">
        <v>455</v>
      </c>
      <c r="H658" s="5" t="s">
        <v>16</v>
      </c>
      <c r="I658" s="6" t="s">
        <v>615</v>
      </c>
      <c r="J658" s="7">
        <v>44274</v>
      </c>
      <c r="K658" s="7">
        <f t="shared" si="34"/>
        <v>44994</v>
      </c>
      <c r="L658" s="17" t="s">
        <v>99</v>
      </c>
    </row>
    <row r="659" spans="1:13" s="13" customFormat="1" ht="18" customHeight="1" x14ac:dyDescent="0.2">
      <c r="A659" s="3" t="s">
        <v>1076</v>
      </c>
      <c r="B659" s="3" t="s">
        <v>1077</v>
      </c>
      <c r="C659" s="3" t="s">
        <v>46</v>
      </c>
      <c r="D659" s="4" t="s">
        <v>624</v>
      </c>
      <c r="E659" s="4" t="s">
        <v>624</v>
      </c>
      <c r="F659" s="16" t="s">
        <v>13</v>
      </c>
      <c r="G659" s="5" t="s">
        <v>455</v>
      </c>
      <c r="H659" s="5" t="s">
        <v>16</v>
      </c>
      <c r="I659" s="6" t="s">
        <v>616</v>
      </c>
      <c r="J659" s="7">
        <v>44274</v>
      </c>
      <c r="K659" s="7">
        <f t="shared" si="34"/>
        <v>44994</v>
      </c>
      <c r="L659" s="17" t="s">
        <v>99</v>
      </c>
    </row>
    <row r="660" spans="1:13" s="13" customFormat="1" ht="18" customHeight="1" x14ac:dyDescent="0.2">
      <c r="A660" s="3" t="s">
        <v>1076</v>
      </c>
      <c r="B660" s="3" t="s">
        <v>1077</v>
      </c>
      <c r="C660" s="3" t="s">
        <v>46</v>
      </c>
      <c r="D660" s="4" t="s">
        <v>625</v>
      </c>
      <c r="E660" s="4" t="s">
        <v>625</v>
      </c>
      <c r="F660" s="16" t="s">
        <v>13</v>
      </c>
      <c r="G660" s="5" t="s">
        <v>455</v>
      </c>
      <c r="H660" s="5" t="s">
        <v>16</v>
      </c>
      <c r="I660" s="6" t="s">
        <v>617</v>
      </c>
      <c r="J660" s="7">
        <v>44274</v>
      </c>
      <c r="K660" s="7">
        <f t="shared" ref="K660:K661" si="35">J660+720</f>
        <v>44994</v>
      </c>
      <c r="L660" s="17" t="s">
        <v>99</v>
      </c>
    </row>
    <row r="661" spans="1:13" s="13" customFormat="1" ht="18" customHeight="1" x14ac:dyDescent="0.2">
      <c r="A661" s="3" t="s">
        <v>43</v>
      </c>
      <c r="B661" s="3"/>
      <c r="C661" s="3" t="s">
        <v>41</v>
      </c>
      <c r="D661" s="4" t="s">
        <v>150</v>
      </c>
      <c r="E661" s="4" t="s">
        <v>150</v>
      </c>
      <c r="F661" s="16" t="s">
        <v>13</v>
      </c>
      <c r="G661" s="5" t="s">
        <v>362</v>
      </c>
      <c r="H661" s="5" t="s">
        <v>171</v>
      </c>
      <c r="I661" s="6">
        <v>1800624</v>
      </c>
      <c r="J661" s="7">
        <v>43901</v>
      </c>
      <c r="K661" s="7">
        <f t="shared" si="35"/>
        <v>44621</v>
      </c>
      <c r="L661" s="17" t="s">
        <v>99</v>
      </c>
    </row>
    <row r="662" spans="1:13" s="13" customFormat="1" ht="18" customHeight="1" x14ac:dyDescent="0.2">
      <c r="A662" s="3" t="s">
        <v>1081</v>
      </c>
      <c r="B662" s="3" t="s">
        <v>1077</v>
      </c>
      <c r="C662" s="3" t="s">
        <v>187</v>
      </c>
      <c r="D662" s="4">
        <v>1705</v>
      </c>
      <c r="E662" s="4">
        <v>1705</v>
      </c>
      <c r="F662" s="16">
        <v>107185313</v>
      </c>
      <c r="G662" s="5" t="s">
        <v>559</v>
      </c>
      <c r="H662" s="5" t="s">
        <v>163</v>
      </c>
      <c r="I662" s="6">
        <v>2506014</v>
      </c>
      <c r="J662" s="7">
        <v>45715</v>
      </c>
      <c r="K662" s="7">
        <f>J662+540</f>
        <v>46255</v>
      </c>
      <c r="L662" s="17" t="s">
        <v>99</v>
      </c>
    </row>
    <row r="663" spans="1:13" s="13" customFormat="1" ht="18" customHeight="1" x14ac:dyDescent="0.2">
      <c r="A663" s="3" t="s">
        <v>1081</v>
      </c>
      <c r="B663" s="3" t="s">
        <v>1082</v>
      </c>
      <c r="C663" s="3" t="s">
        <v>187</v>
      </c>
      <c r="D663" s="74">
        <v>1765</v>
      </c>
      <c r="E663" s="4">
        <v>1765</v>
      </c>
      <c r="F663" s="16">
        <v>112384710</v>
      </c>
      <c r="G663" s="5" t="s">
        <v>559</v>
      </c>
      <c r="H663" s="5" t="s">
        <v>163</v>
      </c>
      <c r="I663" s="42">
        <v>2415673</v>
      </c>
      <c r="J663" s="7">
        <v>45457</v>
      </c>
      <c r="K663" s="7">
        <f>J663+540</f>
        <v>45997</v>
      </c>
      <c r="L663" s="17" t="s">
        <v>1257</v>
      </c>
    </row>
    <row r="664" spans="1:13" s="13" customFormat="1" ht="18" customHeight="1" x14ac:dyDescent="0.2">
      <c r="A664" s="3" t="s">
        <v>1081</v>
      </c>
      <c r="B664" s="3" t="s">
        <v>1293</v>
      </c>
      <c r="C664" s="3" t="s">
        <v>187</v>
      </c>
      <c r="D664" s="74">
        <v>2201</v>
      </c>
      <c r="E664" s="4">
        <v>2201</v>
      </c>
      <c r="F664" s="16">
        <v>232412012</v>
      </c>
      <c r="G664" s="5" t="s">
        <v>1541</v>
      </c>
      <c r="H664" s="5" t="s">
        <v>163</v>
      </c>
      <c r="I664" s="42">
        <v>2506013</v>
      </c>
      <c r="J664" s="7">
        <v>45715</v>
      </c>
      <c r="K664" s="7">
        <f>J664+540</f>
        <v>46255</v>
      </c>
      <c r="L664" s="17" t="s">
        <v>1257</v>
      </c>
    </row>
    <row r="665" spans="1:13" s="14" customFormat="1" ht="18" customHeight="1" x14ac:dyDescent="0.2">
      <c r="A665" s="3" t="s">
        <v>105</v>
      </c>
      <c r="B665" s="3"/>
      <c r="C665" s="3" t="s">
        <v>65</v>
      </c>
      <c r="D665" s="4" t="s">
        <v>66</v>
      </c>
      <c r="E665" s="4" t="s">
        <v>66</v>
      </c>
      <c r="F665" s="16" t="s">
        <v>13</v>
      </c>
      <c r="G665" s="5" t="s">
        <v>66</v>
      </c>
      <c r="H665" s="5" t="s">
        <v>67</v>
      </c>
      <c r="I665" s="42">
        <v>1800655</v>
      </c>
      <c r="J665" s="7">
        <v>43134</v>
      </c>
      <c r="K665" s="7" t="s">
        <v>580</v>
      </c>
      <c r="L665" s="17" t="s">
        <v>99</v>
      </c>
    </row>
    <row r="666" spans="1:13" s="13" customFormat="1" ht="18" customHeight="1" x14ac:dyDescent="0.2">
      <c r="A666" s="3" t="s">
        <v>105</v>
      </c>
      <c r="B666" s="3"/>
      <c r="C666" s="3" t="s">
        <v>65</v>
      </c>
      <c r="D666" s="4" t="s">
        <v>106</v>
      </c>
      <c r="E666" s="4" t="s">
        <v>106</v>
      </c>
      <c r="F666" s="16" t="s">
        <v>385</v>
      </c>
      <c r="G666" s="5" t="s">
        <v>13</v>
      </c>
      <c r="H666" s="5" t="s">
        <v>16</v>
      </c>
      <c r="I666" s="42" t="s">
        <v>393</v>
      </c>
      <c r="J666" s="7">
        <v>44014</v>
      </c>
      <c r="K666" s="7" t="s">
        <v>580</v>
      </c>
      <c r="L666" s="17" t="s">
        <v>99</v>
      </c>
    </row>
    <row r="667" spans="1:13" s="13" customFormat="1" ht="18" customHeight="1" x14ac:dyDescent="0.2">
      <c r="A667" s="3" t="s">
        <v>105</v>
      </c>
      <c r="B667" s="3"/>
      <c r="C667" s="3" t="s">
        <v>65</v>
      </c>
      <c r="D667" s="4" t="s">
        <v>322</v>
      </c>
      <c r="E667" s="4" t="s">
        <v>322</v>
      </c>
      <c r="F667" s="16" t="s">
        <v>385</v>
      </c>
      <c r="G667" s="5" t="s">
        <v>13</v>
      </c>
      <c r="H667" s="5" t="s">
        <v>16</v>
      </c>
      <c r="I667" s="42" t="s">
        <v>1356</v>
      </c>
      <c r="J667" s="7">
        <v>44014</v>
      </c>
      <c r="K667" s="7" t="s">
        <v>580</v>
      </c>
      <c r="L667" s="17" t="s">
        <v>99</v>
      </c>
    </row>
    <row r="668" spans="1:13" s="15" customFormat="1" ht="18" customHeight="1" x14ac:dyDescent="0.2">
      <c r="A668" s="3" t="s">
        <v>105</v>
      </c>
      <c r="B668" s="3"/>
      <c r="C668" s="3" t="s">
        <v>65</v>
      </c>
      <c r="D668" s="4" t="s">
        <v>394</v>
      </c>
      <c r="E668" s="4" t="s">
        <v>394</v>
      </c>
      <c r="F668" s="16" t="s">
        <v>385</v>
      </c>
      <c r="G668" s="5" t="s">
        <v>13</v>
      </c>
      <c r="H668" s="5" t="s">
        <v>16</v>
      </c>
      <c r="I668" s="42" t="s">
        <v>395</v>
      </c>
      <c r="J668" s="7">
        <v>44014</v>
      </c>
      <c r="K668" s="7" t="s">
        <v>580</v>
      </c>
      <c r="L668" s="17" t="s">
        <v>99</v>
      </c>
      <c r="M668" s="13"/>
    </row>
    <row r="669" spans="1:13" s="15" customFormat="1" ht="18" customHeight="1" x14ac:dyDescent="0.2">
      <c r="A669" s="3" t="s">
        <v>105</v>
      </c>
      <c r="B669" s="3"/>
      <c r="C669" s="3" t="s">
        <v>65</v>
      </c>
      <c r="D669" s="4" t="s">
        <v>396</v>
      </c>
      <c r="E669" s="4" t="s">
        <v>396</v>
      </c>
      <c r="F669" s="16" t="s">
        <v>397</v>
      </c>
      <c r="G669" s="5" t="s">
        <v>13</v>
      </c>
      <c r="H669" s="5" t="s">
        <v>16</v>
      </c>
      <c r="I669" s="42" t="s">
        <v>398</v>
      </c>
      <c r="J669" s="7">
        <v>44014</v>
      </c>
      <c r="K669" s="7" t="s">
        <v>580</v>
      </c>
      <c r="L669" s="17" t="s">
        <v>99</v>
      </c>
      <c r="M669" s="13"/>
    </row>
    <row r="670" spans="1:13" s="15" customFormat="1" ht="18" customHeight="1" x14ac:dyDescent="0.2">
      <c r="A670" s="3" t="s">
        <v>1095</v>
      </c>
      <c r="B670" s="3" t="s">
        <v>1092</v>
      </c>
      <c r="C670" s="3" t="s">
        <v>1096</v>
      </c>
      <c r="D670" s="4">
        <v>3125</v>
      </c>
      <c r="E670" s="4">
        <v>3125</v>
      </c>
      <c r="F670" s="16">
        <v>3125</v>
      </c>
      <c r="G670" s="5" t="s">
        <v>1097</v>
      </c>
      <c r="H670" s="5" t="s">
        <v>1096</v>
      </c>
      <c r="I670" s="42" t="s">
        <v>1098</v>
      </c>
      <c r="J670" s="7">
        <v>44844</v>
      </c>
      <c r="K670" s="7" t="s">
        <v>580</v>
      </c>
      <c r="L670" s="17" t="s">
        <v>99</v>
      </c>
      <c r="M670" s="13"/>
    </row>
    <row r="671" spans="1:13" s="13" customFormat="1" ht="18" customHeight="1" x14ac:dyDescent="0.2">
      <c r="A671" s="3" t="s">
        <v>227</v>
      </c>
      <c r="B671" s="3"/>
      <c r="C671" s="3" t="s">
        <v>228</v>
      </c>
      <c r="D671" s="4" t="s">
        <v>229</v>
      </c>
      <c r="E671" s="4" t="s">
        <v>13</v>
      </c>
      <c r="F671" s="16" t="s">
        <v>230</v>
      </c>
      <c r="G671" s="5" t="s">
        <v>231</v>
      </c>
      <c r="H671" s="5" t="s">
        <v>232</v>
      </c>
      <c r="I671" s="6" t="s">
        <v>233</v>
      </c>
      <c r="J671" s="7">
        <v>43389</v>
      </c>
      <c r="K671" s="7">
        <f>J671+720</f>
        <v>44109</v>
      </c>
      <c r="L671" s="17" t="s">
        <v>99</v>
      </c>
    </row>
    <row r="672" spans="1:13" s="14" customFormat="1" ht="18" customHeight="1" x14ac:dyDescent="0.2">
      <c r="A672" s="3" t="s">
        <v>851</v>
      </c>
      <c r="B672" s="3" t="s">
        <v>1210</v>
      </c>
      <c r="C672" s="3" t="s">
        <v>228</v>
      </c>
      <c r="D672" s="4" t="s">
        <v>1211</v>
      </c>
      <c r="E672" s="5" t="s">
        <v>1211</v>
      </c>
      <c r="F672" s="5" t="s">
        <v>1212</v>
      </c>
      <c r="G672" s="5" t="s">
        <v>1213</v>
      </c>
      <c r="H672" s="5" t="s">
        <v>1214</v>
      </c>
      <c r="I672" s="6">
        <v>1520</v>
      </c>
      <c r="J672" s="7">
        <v>44999</v>
      </c>
      <c r="K672" s="7">
        <f t="shared" ref="K672:K693" si="36">J672+365</f>
        <v>45364</v>
      </c>
      <c r="L672" s="17" t="s">
        <v>99</v>
      </c>
      <c r="M672" s="13"/>
    </row>
    <row r="673" spans="1:13" s="14" customFormat="1" ht="18" customHeight="1" x14ac:dyDescent="0.2">
      <c r="A673" s="3" t="s">
        <v>851</v>
      </c>
      <c r="B673" s="3"/>
      <c r="C673" s="3" t="s">
        <v>228</v>
      </c>
      <c r="D673" s="4" t="s">
        <v>852</v>
      </c>
      <c r="E673" s="22" t="s">
        <v>852</v>
      </c>
      <c r="F673" s="59" t="s">
        <v>853</v>
      </c>
      <c r="G673" s="6" t="s">
        <v>854</v>
      </c>
      <c r="H673" s="6" t="s">
        <v>849</v>
      </c>
      <c r="I673" s="6">
        <v>687</v>
      </c>
      <c r="J673" s="7">
        <v>44285</v>
      </c>
      <c r="K673" s="7">
        <f t="shared" si="36"/>
        <v>44650</v>
      </c>
      <c r="L673" s="17" t="s">
        <v>99</v>
      </c>
      <c r="M673" s="13"/>
    </row>
    <row r="674" spans="1:13" s="14" customFormat="1" ht="18" customHeight="1" x14ac:dyDescent="0.2">
      <c r="A674" s="3" t="s">
        <v>1454</v>
      </c>
      <c r="B674" s="3"/>
      <c r="C674" s="3" t="s">
        <v>312</v>
      </c>
      <c r="D674" s="4" t="s">
        <v>1455</v>
      </c>
      <c r="E674" s="22" t="s">
        <v>1456</v>
      </c>
      <c r="F674" s="59">
        <v>11125171</v>
      </c>
      <c r="G674" s="6" t="s">
        <v>1456</v>
      </c>
      <c r="H674" s="6" t="s">
        <v>849</v>
      </c>
      <c r="I674" s="6">
        <v>1373</v>
      </c>
      <c r="J674" s="7">
        <v>45649</v>
      </c>
      <c r="K674" s="7">
        <f t="shared" si="36"/>
        <v>46014</v>
      </c>
      <c r="L674" s="17" t="s">
        <v>1257</v>
      </c>
      <c r="M674" s="13"/>
    </row>
    <row r="675" spans="1:13" s="14" customFormat="1" ht="18" customHeight="1" x14ac:dyDescent="0.2">
      <c r="A675" s="3" t="s">
        <v>1133</v>
      </c>
      <c r="B675" s="3"/>
      <c r="C675" s="3" t="s">
        <v>1134</v>
      </c>
      <c r="D675" s="4" t="s">
        <v>1134</v>
      </c>
      <c r="E675" s="4" t="s">
        <v>13</v>
      </c>
      <c r="F675" s="16" t="s">
        <v>13</v>
      </c>
      <c r="G675" s="5" t="s">
        <v>13</v>
      </c>
      <c r="H675" s="5" t="s">
        <v>163</v>
      </c>
      <c r="I675" s="6">
        <v>2303337</v>
      </c>
      <c r="J675" s="7">
        <v>44971</v>
      </c>
      <c r="K675" s="7">
        <f t="shared" si="36"/>
        <v>45336</v>
      </c>
      <c r="L675" s="17" t="s">
        <v>99</v>
      </c>
      <c r="M675" s="13"/>
    </row>
    <row r="676" spans="1:13" s="14" customFormat="1" ht="18" customHeight="1" x14ac:dyDescent="0.2">
      <c r="A676" s="3" t="s">
        <v>1133</v>
      </c>
      <c r="B676" s="3"/>
      <c r="C676" s="3" t="s">
        <v>1135</v>
      </c>
      <c r="D676" s="4" t="s">
        <v>1135</v>
      </c>
      <c r="E676" s="4" t="s">
        <v>13</v>
      </c>
      <c r="F676" s="16" t="s">
        <v>13</v>
      </c>
      <c r="G676" s="5" t="s">
        <v>13</v>
      </c>
      <c r="H676" s="5" t="s">
        <v>163</v>
      </c>
      <c r="I676" s="42">
        <v>2415691</v>
      </c>
      <c r="J676" s="7">
        <v>45462</v>
      </c>
      <c r="K676" s="7">
        <f t="shared" si="36"/>
        <v>45827</v>
      </c>
      <c r="L676" s="17" t="s">
        <v>1257</v>
      </c>
      <c r="M676" s="13"/>
    </row>
    <row r="677" spans="1:13" s="14" customFormat="1" ht="18" customHeight="1" x14ac:dyDescent="0.2">
      <c r="A677" s="3" t="s">
        <v>1133</v>
      </c>
      <c r="B677" s="3"/>
      <c r="C677" s="3" t="s">
        <v>1136</v>
      </c>
      <c r="D677" s="4" t="s">
        <v>1136</v>
      </c>
      <c r="E677" s="4" t="s">
        <v>13</v>
      </c>
      <c r="F677" s="16" t="s">
        <v>13</v>
      </c>
      <c r="G677" s="5" t="s">
        <v>13</v>
      </c>
      <c r="H677" s="5" t="s">
        <v>163</v>
      </c>
      <c r="I677" s="42">
        <v>2415692</v>
      </c>
      <c r="J677" s="7">
        <v>45462</v>
      </c>
      <c r="K677" s="7">
        <f t="shared" si="36"/>
        <v>45827</v>
      </c>
      <c r="L677" s="17" t="s">
        <v>1257</v>
      </c>
      <c r="M677" s="13"/>
    </row>
    <row r="678" spans="1:13" s="14" customFormat="1" ht="18" customHeight="1" x14ac:dyDescent="0.2">
      <c r="A678" s="3" t="s">
        <v>1133</v>
      </c>
      <c r="B678" s="3"/>
      <c r="C678" s="3" t="s">
        <v>1137</v>
      </c>
      <c r="D678" s="4" t="s">
        <v>1137</v>
      </c>
      <c r="E678" s="4" t="s">
        <v>13</v>
      </c>
      <c r="F678" s="16" t="s">
        <v>13</v>
      </c>
      <c r="G678" s="5" t="s">
        <v>13</v>
      </c>
      <c r="H678" s="5" t="s">
        <v>163</v>
      </c>
      <c r="I678" s="42">
        <v>2415693</v>
      </c>
      <c r="J678" s="7">
        <v>45462</v>
      </c>
      <c r="K678" s="7">
        <f t="shared" si="36"/>
        <v>45827</v>
      </c>
      <c r="L678" s="17" t="s">
        <v>1257</v>
      </c>
      <c r="M678" s="13"/>
    </row>
    <row r="679" spans="1:13" s="14" customFormat="1" ht="18" customHeight="1" x14ac:dyDescent="0.2">
      <c r="A679" s="3" t="s">
        <v>1133</v>
      </c>
      <c r="B679" s="3"/>
      <c r="C679" s="3" t="s">
        <v>1138</v>
      </c>
      <c r="D679" s="4" t="s">
        <v>1138</v>
      </c>
      <c r="E679" s="4" t="s">
        <v>13</v>
      </c>
      <c r="F679" s="16" t="s">
        <v>13</v>
      </c>
      <c r="G679" s="5" t="s">
        <v>13</v>
      </c>
      <c r="H679" s="5" t="s">
        <v>163</v>
      </c>
      <c r="I679" s="42">
        <v>2415694</v>
      </c>
      <c r="J679" s="7">
        <v>45462</v>
      </c>
      <c r="K679" s="7">
        <f t="shared" si="36"/>
        <v>45827</v>
      </c>
      <c r="L679" s="17" t="s">
        <v>1257</v>
      </c>
      <c r="M679" s="13"/>
    </row>
    <row r="680" spans="1:13" s="14" customFormat="1" ht="18" customHeight="1" x14ac:dyDescent="0.2">
      <c r="A680" s="3" t="s">
        <v>1133</v>
      </c>
      <c r="B680" s="3"/>
      <c r="C680" s="3" t="s">
        <v>1277</v>
      </c>
      <c r="D680" s="4" t="s">
        <v>1277</v>
      </c>
      <c r="E680" s="4" t="s">
        <v>13</v>
      </c>
      <c r="F680" s="16" t="s">
        <v>13</v>
      </c>
      <c r="G680" s="5" t="s">
        <v>13</v>
      </c>
      <c r="H680" s="5" t="s">
        <v>163</v>
      </c>
      <c r="I680" s="42">
        <v>2415690</v>
      </c>
      <c r="J680" s="7">
        <v>45455</v>
      </c>
      <c r="K680" s="7">
        <f t="shared" si="36"/>
        <v>45820</v>
      </c>
      <c r="L680" s="17" t="s">
        <v>1257</v>
      </c>
      <c r="M680" s="13"/>
    </row>
    <row r="681" spans="1:13" s="14" customFormat="1" ht="18" customHeight="1" x14ac:dyDescent="0.2">
      <c r="A681" s="3" t="s">
        <v>1133</v>
      </c>
      <c r="B681" s="3"/>
      <c r="C681" s="3" t="s">
        <v>1278</v>
      </c>
      <c r="D681" s="4" t="s">
        <v>1278</v>
      </c>
      <c r="E681" s="4" t="s">
        <v>13</v>
      </c>
      <c r="F681" s="16" t="s">
        <v>13</v>
      </c>
      <c r="G681" s="5" t="s">
        <v>13</v>
      </c>
      <c r="H681" s="5" t="s">
        <v>163</v>
      </c>
      <c r="I681" s="42">
        <v>2416819</v>
      </c>
      <c r="J681" s="7">
        <v>45462</v>
      </c>
      <c r="K681" s="7">
        <f t="shared" si="36"/>
        <v>45827</v>
      </c>
      <c r="L681" s="17" t="s">
        <v>1257</v>
      </c>
      <c r="M681" s="13"/>
    </row>
    <row r="682" spans="1:13" s="14" customFormat="1" ht="18" customHeight="1" x14ac:dyDescent="0.2">
      <c r="A682" s="3" t="s">
        <v>1133</v>
      </c>
      <c r="B682" s="3"/>
      <c r="C682" s="3" t="s">
        <v>1279</v>
      </c>
      <c r="D682" s="4" t="s">
        <v>1279</v>
      </c>
      <c r="E682" s="4" t="s">
        <v>13</v>
      </c>
      <c r="F682" s="16" t="s">
        <v>13</v>
      </c>
      <c r="G682" s="5" t="s">
        <v>13</v>
      </c>
      <c r="H682" s="5" t="s">
        <v>163</v>
      </c>
      <c r="I682" s="42">
        <v>2416820</v>
      </c>
      <c r="J682" s="7">
        <v>45462</v>
      </c>
      <c r="K682" s="7">
        <f t="shared" si="36"/>
        <v>45827</v>
      </c>
      <c r="L682" s="17" t="s">
        <v>1257</v>
      </c>
      <c r="M682" s="13"/>
    </row>
    <row r="683" spans="1:13" s="14" customFormat="1" ht="18" customHeight="1" x14ac:dyDescent="0.2">
      <c r="A683" s="3" t="s">
        <v>1133</v>
      </c>
      <c r="B683" s="3" t="s">
        <v>1495</v>
      </c>
      <c r="C683" s="37">
        <v>11766</v>
      </c>
      <c r="D683" s="5">
        <v>11766</v>
      </c>
      <c r="E683" s="4" t="s">
        <v>13</v>
      </c>
      <c r="F683" s="16" t="s">
        <v>13</v>
      </c>
      <c r="G683" s="5" t="s">
        <v>13</v>
      </c>
      <c r="H683" s="5" t="s">
        <v>1438</v>
      </c>
      <c r="I683" s="73" t="s">
        <v>1504</v>
      </c>
      <c r="J683" s="7">
        <v>45673</v>
      </c>
      <c r="K683" s="7">
        <f t="shared" si="36"/>
        <v>46038</v>
      </c>
      <c r="L683" s="17" t="s">
        <v>1257</v>
      </c>
      <c r="M683" s="13"/>
    </row>
    <row r="684" spans="1:13" s="14" customFormat="1" ht="18" customHeight="1" x14ac:dyDescent="0.2">
      <c r="A684" s="3" t="s">
        <v>1505</v>
      </c>
      <c r="B684" s="3" t="s">
        <v>1495</v>
      </c>
      <c r="C684" s="37" t="s">
        <v>13</v>
      </c>
      <c r="D684" s="5" t="s">
        <v>13</v>
      </c>
      <c r="E684" s="4" t="s">
        <v>1506</v>
      </c>
      <c r="F684" s="16" t="s">
        <v>1507</v>
      </c>
      <c r="G684" s="5"/>
      <c r="H684" s="5" t="s">
        <v>1508</v>
      </c>
      <c r="I684" s="73" t="s">
        <v>1509</v>
      </c>
      <c r="J684" s="7">
        <v>45365</v>
      </c>
      <c r="K684" s="7">
        <f>J684+720</f>
        <v>46085</v>
      </c>
      <c r="L684" s="17" t="s">
        <v>1257</v>
      </c>
      <c r="M684" s="13"/>
    </row>
    <row r="685" spans="1:13" s="14" customFormat="1" ht="18" customHeight="1" x14ac:dyDescent="0.2">
      <c r="A685" s="3" t="s">
        <v>792</v>
      </c>
      <c r="B685" s="3"/>
      <c r="C685" s="3" t="s">
        <v>793</v>
      </c>
      <c r="D685" s="4" t="s">
        <v>794</v>
      </c>
      <c r="E685" s="4" t="s">
        <v>794</v>
      </c>
      <c r="F685" s="16" t="s">
        <v>13</v>
      </c>
      <c r="G685" s="5" t="s">
        <v>795</v>
      </c>
      <c r="H685" s="5" t="s">
        <v>16</v>
      </c>
      <c r="I685" s="6" t="s">
        <v>796</v>
      </c>
      <c r="J685" s="7">
        <v>44456</v>
      </c>
      <c r="K685" s="7">
        <f t="shared" si="36"/>
        <v>44821</v>
      </c>
      <c r="L685" s="17" t="s">
        <v>99</v>
      </c>
      <c r="M685" s="13"/>
    </row>
    <row r="686" spans="1:13" s="14" customFormat="1" ht="18" customHeight="1" x14ac:dyDescent="0.2">
      <c r="A686" s="3" t="s">
        <v>792</v>
      </c>
      <c r="B686" s="3"/>
      <c r="C686" s="3" t="s">
        <v>793</v>
      </c>
      <c r="D686" s="4" t="s">
        <v>797</v>
      </c>
      <c r="E686" s="4" t="s">
        <v>797</v>
      </c>
      <c r="F686" s="16" t="s">
        <v>13</v>
      </c>
      <c r="G686" s="5" t="s">
        <v>795</v>
      </c>
      <c r="H686" s="5" t="s">
        <v>16</v>
      </c>
      <c r="I686" s="6" t="s">
        <v>800</v>
      </c>
      <c r="J686" s="7">
        <v>44456</v>
      </c>
      <c r="K686" s="7">
        <f t="shared" si="36"/>
        <v>44821</v>
      </c>
      <c r="L686" s="17" t="s">
        <v>99</v>
      </c>
      <c r="M686" s="13"/>
    </row>
    <row r="687" spans="1:13" s="14" customFormat="1" ht="18" customHeight="1" x14ac:dyDescent="0.2">
      <c r="A687" s="3" t="s">
        <v>792</v>
      </c>
      <c r="B687" s="3"/>
      <c r="C687" s="3" t="s">
        <v>793</v>
      </c>
      <c r="D687" s="4" t="s">
        <v>798</v>
      </c>
      <c r="E687" s="4" t="s">
        <v>798</v>
      </c>
      <c r="F687" s="16" t="s">
        <v>13</v>
      </c>
      <c r="G687" s="5" t="s">
        <v>795</v>
      </c>
      <c r="H687" s="5" t="s">
        <v>16</v>
      </c>
      <c r="I687" s="6" t="s">
        <v>801</v>
      </c>
      <c r="J687" s="7">
        <v>44456</v>
      </c>
      <c r="K687" s="7">
        <f t="shared" si="36"/>
        <v>44821</v>
      </c>
      <c r="L687" s="17" t="s">
        <v>99</v>
      </c>
      <c r="M687" s="13"/>
    </row>
    <row r="688" spans="1:13" s="14" customFormat="1" ht="18" customHeight="1" x14ac:dyDescent="0.2">
      <c r="A688" s="3" t="s">
        <v>792</v>
      </c>
      <c r="B688" s="3"/>
      <c r="C688" s="3" t="s">
        <v>793</v>
      </c>
      <c r="D688" s="4" t="s">
        <v>799</v>
      </c>
      <c r="E688" s="4" t="s">
        <v>799</v>
      </c>
      <c r="F688" s="16" t="s">
        <v>13</v>
      </c>
      <c r="G688" s="5" t="s">
        <v>795</v>
      </c>
      <c r="H688" s="5" t="s">
        <v>16</v>
      </c>
      <c r="I688" s="6" t="s">
        <v>802</v>
      </c>
      <c r="J688" s="7">
        <v>44456</v>
      </c>
      <c r="K688" s="7">
        <f t="shared" si="36"/>
        <v>44821</v>
      </c>
      <c r="L688" s="17" t="s">
        <v>99</v>
      </c>
      <c r="M688" s="13"/>
    </row>
    <row r="689" spans="1:13" s="14" customFormat="1" ht="18" customHeight="1" x14ac:dyDescent="0.2">
      <c r="A689" s="3" t="s">
        <v>879</v>
      </c>
      <c r="B689" s="3"/>
      <c r="C689" s="3" t="s">
        <v>13</v>
      </c>
      <c r="D689" s="4" t="s">
        <v>807</v>
      </c>
      <c r="E689" s="4" t="s">
        <v>807</v>
      </c>
      <c r="F689" s="16" t="s">
        <v>13</v>
      </c>
      <c r="G689" s="5" t="s">
        <v>13</v>
      </c>
      <c r="H689" s="5" t="s">
        <v>16</v>
      </c>
      <c r="I689" s="6" t="s">
        <v>811</v>
      </c>
      <c r="J689" s="7">
        <v>44497</v>
      </c>
      <c r="K689" s="7">
        <f t="shared" si="36"/>
        <v>44862</v>
      </c>
      <c r="L689" s="17" t="s">
        <v>99</v>
      </c>
      <c r="M689" s="13"/>
    </row>
    <row r="690" spans="1:13" s="14" customFormat="1" ht="18" customHeight="1" x14ac:dyDescent="0.2">
      <c r="A690" s="3" t="s">
        <v>879</v>
      </c>
      <c r="B690" s="3"/>
      <c r="C690" s="3" t="s">
        <v>13</v>
      </c>
      <c r="D690" s="4" t="s">
        <v>808</v>
      </c>
      <c r="E690" s="4" t="s">
        <v>808</v>
      </c>
      <c r="F690" s="16" t="s">
        <v>13</v>
      </c>
      <c r="G690" s="5" t="s">
        <v>13</v>
      </c>
      <c r="H690" s="5" t="s">
        <v>16</v>
      </c>
      <c r="I690" s="6" t="s">
        <v>812</v>
      </c>
      <c r="J690" s="7">
        <v>44497</v>
      </c>
      <c r="K690" s="7">
        <f t="shared" si="36"/>
        <v>44862</v>
      </c>
      <c r="L690" s="17" t="s">
        <v>99</v>
      </c>
      <c r="M690" s="13"/>
    </row>
    <row r="691" spans="1:13" s="14" customFormat="1" ht="18" customHeight="1" x14ac:dyDescent="0.2">
      <c r="A691" s="3" t="s">
        <v>879</v>
      </c>
      <c r="B691" s="3"/>
      <c r="C691" s="3" t="s">
        <v>13</v>
      </c>
      <c r="D691" s="4" t="s">
        <v>809</v>
      </c>
      <c r="E691" s="4" t="s">
        <v>809</v>
      </c>
      <c r="F691" s="16" t="s">
        <v>13</v>
      </c>
      <c r="G691" s="5" t="s">
        <v>13</v>
      </c>
      <c r="H691" s="5" t="s">
        <v>16</v>
      </c>
      <c r="I691" s="6" t="s">
        <v>813</v>
      </c>
      <c r="J691" s="7">
        <v>44497</v>
      </c>
      <c r="K691" s="7">
        <f t="shared" si="36"/>
        <v>44862</v>
      </c>
      <c r="L691" s="17" t="s">
        <v>99</v>
      </c>
      <c r="M691" s="13"/>
    </row>
    <row r="692" spans="1:13" s="14" customFormat="1" ht="18" customHeight="1" x14ac:dyDescent="0.2">
      <c r="A692" s="3" t="s">
        <v>879</v>
      </c>
      <c r="B692" s="3"/>
      <c r="C692" s="3" t="s">
        <v>13</v>
      </c>
      <c r="D692" s="4" t="s">
        <v>810</v>
      </c>
      <c r="E692" s="4" t="s">
        <v>810</v>
      </c>
      <c r="F692" s="16" t="s">
        <v>13</v>
      </c>
      <c r="G692" s="5" t="s">
        <v>13</v>
      </c>
      <c r="H692" s="5" t="s">
        <v>16</v>
      </c>
      <c r="I692" s="6" t="s">
        <v>814</v>
      </c>
      <c r="J692" s="7">
        <v>44497</v>
      </c>
      <c r="K692" s="7">
        <f t="shared" si="36"/>
        <v>44862</v>
      </c>
      <c r="L692" s="17" t="s">
        <v>99</v>
      </c>
      <c r="M692" s="13"/>
    </row>
    <row r="693" spans="1:13" s="14" customFormat="1" ht="18" customHeight="1" x14ac:dyDescent="0.2">
      <c r="A693" s="3" t="s">
        <v>1370</v>
      </c>
      <c r="B693" s="3"/>
      <c r="C693" s="3" t="s">
        <v>13</v>
      </c>
      <c r="D693" s="4" t="s">
        <v>1367</v>
      </c>
      <c r="E693" s="4" t="s">
        <v>1367</v>
      </c>
      <c r="F693" s="16" t="s">
        <v>13</v>
      </c>
      <c r="G693" s="5" t="s">
        <v>13</v>
      </c>
      <c r="H693" s="5" t="s">
        <v>1372</v>
      </c>
      <c r="I693" s="42" t="s">
        <v>1383</v>
      </c>
      <c r="J693" s="7">
        <v>45555</v>
      </c>
      <c r="K693" s="7">
        <f t="shared" si="36"/>
        <v>45920</v>
      </c>
      <c r="L693" s="17" t="s">
        <v>1257</v>
      </c>
      <c r="M693" s="13"/>
    </row>
    <row r="694" spans="1:13" s="14" customFormat="1" ht="18" customHeight="1" x14ac:dyDescent="0.2">
      <c r="A694" s="3" t="s">
        <v>585</v>
      </c>
      <c r="B694" s="3"/>
      <c r="C694" s="3" t="s">
        <v>835</v>
      </c>
      <c r="D694" s="74">
        <v>180</v>
      </c>
      <c r="E694" s="4">
        <v>180</v>
      </c>
      <c r="F694" s="16" t="s">
        <v>836</v>
      </c>
      <c r="G694" s="5" t="s">
        <v>588</v>
      </c>
      <c r="H694" s="5" t="s">
        <v>163</v>
      </c>
      <c r="I694" s="42">
        <v>2415652</v>
      </c>
      <c r="J694" s="7">
        <v>45462</v>
      </c>
      <c r="K694" s="7">
        <f t="shared" ref="K694:K708" si="37">J694+720</f>
        <v>46182</v>
      </c>
      <c r="L694" s="17" t="s">
        <v>1257</v>
      </c>
      <c r="M694" s="13"/>
    </row>
    <row r="695" spans="1:13" s="15" customFormat="1" ht="18" customHeight="1" x14ac:dyDescent="0.2">
      <c r="A695" s="3" t="s">
        <v>585</v>
      </c>
      <c r="B695" s="3"/>
      <c r="C695" s="3" t="s">
        <v>579</v>
      </c>
      <c r="D695" s="4">
        <v>181</v>
      </c>
      <c r="E695" s="4">
        <v>181</v>
      </c>
      <c r="F695" s="16">
        <v>2436</v>
      </c>
      <c r="G695" s="5" t="s">
        <v>587</v>
      </c>
      <c r="H695" s="5" t="s">
        <v>163</v>
      </c>
      <c r="I695" s="42">
        <v>2222376</v>
      </c>
      <c r="J695" s="7">
        <v>44840</v>
      </c>
      <c r="K695" s="7">
        <f t="shared" si="37"/>
        <v>45560</v>
      </c>
      <c r="L695" s="17" t="s">
        <v>99</v>
      </c>
      <c r="M695" s="13"/>
    </row>
    <row r="696" spans="1:13" s="15" customFormat="1" ht="18" customHeight="1" x14ac:dyDescent="0.2">
      <c r="A696" s="3" t="s">
        <v>585</v>
      </c>
      <c r="B696" s="3"/>
      <c r="C696" s="3" t="s">
        <v>579</v>
      </c>
      <c r="D696" s="4">
        <v>182</v>
      </c>
      <c r="E696" s="4">
        <v>182</v>
      </c>
      <c r="F696" s="16">
        <v>2441</v>
      </c>
      <c r="G696" s="5" t="s">
        <v>587</v>
      </c>
      <c r="H696" s="5" t="s">
        <v>163</v>
      </c>
      <c r="I696" s="42">
        <v>2300731</v>
      </c>
      <c r="J696" s="7">
        <v>44952</v>
      </c>
      <c r="K696" s="7">
        <f t="shared" si="37"/>
        <v>45672</v>
      </c>
      <c r="L696" s="17" t="s">
        <v>99</v>
      </c>
      <c r="M696" s="13"/>
    </row>
    <row r="697" spans="1:13" s="15" customFormat="1" ht="18" customHeight="1" x14ac:dyDescent="0.2">
      <c r="A697" s="3" t="s">
        <v>585</v>
      </c>
      <c r="B697" s="3"/>
      <c r="C697" s="3" t="s">
        <v>579</v>
      </c>
      <c r="D697" s="4">
        <v>183</v>
      </c>
      <c r="E697" s="4">
        <v>183</v>
      </c>
      <c r="F697" s="16">
        <v>2437</v>
      </c>
      <c r="G697" s="5" t="s">
        <v>587</v>
      </c>
      <c r="H697" s="5" t="s">
        <v>163</v>
      </c>
      <c r="I697" s="42">
        <v>2519257</v>
      </c>
      <c r="J697" s="7">
        <v>45825</v>
      </c>
      <c r="K697" s="7">
        <f t="shared" si="37"/>
        <v>46545</v>
      </c>
      <c r="L697" s="17" t="s">
        <v>1548</v>
      </c>
      <c r="M697" s="13"/>
    </row>
    <row r="698" spans="1:13" s="13" customFormat="1" ht="18" customHeight="1" x14ac:dyDescent="0.2">
      <c r="A698" s="3" t="s">
        <v>585</v>
      </c>
      <c r="B698" s="3"/>
      <c r="C698" s="3" t="s">
        <v>579</v>
      </c>
      <c r="D698" s="4">
        <v>184</v>
      </c>
      <c r="E698" s="4">
        <v>184</v>
      </c>
      <c r="F698" s="16">
        <v>2332</v>
      </c>
      <c r="G698" s="5" t="s">
        <v>587</v>
      </c>
      <c r="H698" s="5" t="s">
        <v>16</v>
      </c>
      <c r="I698" s="6" t="s">
        <v>630</v>
      </c>
      <c r="J698" s="7">
        <v>44292</v>
      </c>
      <c r="K698" s="7">
        <f t="shared" si="37"/>
        <v>45012</v>
      </c>
      <c r="L698" s="17" t="s">
        <v>99</v>
      </c>
    </row>
    <row r="699" spans="1:13" s="13" customFormat="1" ht="18" customHeight="1" x14ac:dyDescent="0.2">
      <c r="A699" s="3" t="s">
        <v>585</v>
      </c>
      <c r="B699" s="3"/>
      <c r="C699" s="3" t="s">
        <v>579</v>
      </c>
      <c r="D699" s="4">
        <v>185</v>
      </c>
      <c r="E699" s="4">
        <v>185</v>
      </c>
      <c r="F699" s="16">
        <v>185</v>
      </c>
      <c r="G699" s="5" t="s">
        <v>13</v>
      </c>
      <c r="H699" s="5" t="s">
        <v>163</v>
      </c>
      <c r="I699" s="42">
        <v>2222377</v>
      </c>
      <c r="J699" s="7">
        <v>44840</v>
      </c>
      <c r="K699" s="7">
        <f t="shared" si="37"/>
        <v>45560</v>
      </c>
      <c r="L699" s="17" t="s">
        <v>99</v>
      </c>
    </row>
    <row r="700" spans="1:13" s="13" customFormat="1" ht="18" customHeight="1" x14ac:dyDescent="0.2">
      <c r="A700" s="3" t="s">
        <v>585</v>
      </c>
      <c r="B700" s="3"/>
      <c r="C700" s="3" t="s">
        <v>579</v>
      </c>
      <c r="D700" s="4">
        <v>186</v>
      </c>
      <c r="E700" s="4">
        <v>186</v>
      </c>
      <c r="F700" s="16">
        <v>2411</v>
      </c>
      <c r="G700" s="5" t="s">
        <v>587</v>
      </c>
      <c r="H700" s="5" t="s">
        <v>163</v>
      </c>
      <c r="I700" s="42">
        <v>2222378</v>
      </c>
      <c r="J700" s="7">
        <v>44840</v>
      </c>
      <c r="K700" s="7">
        <f t="shared" si="37"/>
        <v>45560</v>
      </c>
      <c r="L700" s="17" t="s">
        <v>99</v>
      </c>
    </row>
    <row r="701" spans="1:13" s="13" customFormat="1" ht="18" customHeight="1" x14ac:dyDescent="0.2">
      <c r="A701" s="3" t="s">
        <v>585</v>
      </c>
      <c r="B701" s="3"/>
      <c r="C701" s="3" t="s">
        <v>586</v>
      </c>
      <c r="D701" s="4" t="s">
        <v>13</v>
      </c>
      <c r="E701" s="4" t="s">
        <v>13</v>
      </c>
      <c r="F701" s="16" t="s">
        <v>13</v>
      </c>
      <c r="G701" s="5" t="s">
        <v>588</v>
      </c>
      <c r="H701" s="5" t="s">
        <v>589</v>
      </c>
      <c r="I701" s="6" t="s">
        <v>590</v>
      </c>
      <c r="J701" s="7">
        <v>44144</v>
      </c>
      <c r="K701" s="7">
        <f t="shared" si="37"/>
        <v>44864</v>
      </c>
      <c r="L701" s="17" t="s">
        <v>99</v>
      </c>
    </row>
    <row r="702" spans="1:13" s="13" customFormat="1" ht="18" customHeight="1" x14ac:dyDescent="0.2">
      <c r="A702" s="3" t="s">
        <v>585</v>
      </c>
      <c r="B702" s="3"/>
      <c r="C702" s="3" t="s">
        <v>579</v>
      </c>
      <c r="D702" s="4" t="s">
        <v>13</v>
      </c>
      <c r="E702" s="4" t="s">
        <v>13</v>
      </c>
      <c r="F702" s="16">
        <v>2412</v>
      </c>
      <c r="G702" s="5" t="s">
        <v>587</v>
      </c>
      <c r="H702" s="5" t="s">
        <v>589</v>
      </c>
      <c r="I702" s="6" t="s">
        <v>840</v>
      </c>
      <c r="J702" s="7">
        <v>44085</v>
      </c>
      <c r="K702" s="7">
        <f t="shared" si="37"/>
        <v>44805</v>
      </c>
      <c r="L702" s="17" t="s">
        <v>99</v>
      </c>
    </row>
    <row r="703" spans="1:13" s="13" customFormat="1" ht="18" customHeight="1" x14ac:dyDescent="0.2">
      <c r="A703" s="3" t="s">
        <v>90</v>
      </c>
      <c r="B703" s="3"/>
      <c r="C703" s="3" t="s">
        <v>446</v>
      </c>
      <c r="D703" s="4">
        <v>1295</v>
      </c>
      <c r="E703" s="4">
        <v>1295</v>
      </c>
      <c r="F703" s="16" t="s">
        <v>846</v>
      </c>
      <c r="G703" s="5" t="s">
        <v>588</v>
      </c>
      <c r="H703" s="5" t="s">
        <v>163</v>
      </c>
      <c r="I703" s="42">
        <v>2226787</v>
      </c>
      <c r="J703" s="7">
        <v>44889</v>
      </c>
      <c r="K703" s="7">
        <f t="shared" si="37"/>
        <v>45609</v>
      </c>
      <c r="L703" s="17" t="s">
        <v>99</v>
      </c>
    </row>
    <row r="704" spans="1:13" s="13" customFormat="1" ht="18" customHeight="1" x14ac:dyDescent="0.2">
      <c r="A704" s="3" t="s">
        <v>90</v>
      </c>
      <c r="B704" s="3"/>
      <c r="C704" s="3" t="s">
        <v>91</v>
      </c>
      <c r="D704" s="74">
        <v>1296</v>
      </c>
      <c r="E704" s="4">
        <v>1296</v>
      </c>
      <c r="F704" s="16" t="s">
        <v>13</v>
      </c>
      <c r="G704" s="5" t="s">
        <v>588</v>
      </c>
      <c r="H704" s="5" t="s">
        <v>163</v>
      </c>
      <c r="I704" s="42">
        <v>2415653</v>
      </c>
      <c r="J704" s="7">
        <v>45462</v>
      </c>
      <c r="K704" s="7">
        <f t="shared" si="37"/>
        <v>46182</v>
      </c>
      <c r="L704" s="17" t="s">
        <v>1257</v>
      </c>
    </row>
    <row r="705" spans="1:13" s="13" customFormat="1" ht="18" customHeight="1" x14ac:dyDescent="0.2">
      <c r="A705" s="3" t="s">
        <v>90</v>
      </c>
      <c r="B705" s="3"/>
      <c r="C705" s="3" t="s">
        <v>446</v>
      </c>
      <c r="D705" s="4">
        <v>1829</v>
      </c>
      <c r="E705" s="4">
        <v>1829</v>
      </c>
      <c r="F705" s="16">
        <v>2334</v>
      </c>
      <c r="G705" s="5">
        <v>101</v>
      </c>
      <c r="H705" s="5" t="s">
        <v>422</v>
      </c>
      <c r="I705" s="6" t="s">
        <v>447</v>
      </c>
      <c r="J705" s="7">
        <v>44025</v>
      </c>
      <c r="K705" s="7">
        <f t="shared" si="37"/>
        <v>44745</v>
      </c>
      <c r="L705" s="17" t="s">
        <v>99</v>
      </c>
    </row>
    <row r="706" spans="1:13" s="13" customFormat="1" ht="18" customHeight="1" x14ac:dyDescent="0.2">
      <c r="A706" s="3" t="s">
        <v>90</v>
      </c>
      <c r="B706" s="3"/>
      <c r="C706" s="3" t="s">
        <v>446</v>
      </c>
      <c r="D706" s="74">
        <v>1830</v>
      </c>
      <c r="E706" s="4">
        <v>1830</v>
      </c>
      <c r="F706" s="16">
        <v>1513</v>
      </c>
      <c r="G706" s="5" t="s">
        <v>588</v>
      </c>
      <c r="H706" s="5" t="s">
        <v>163</v>
      </c>
      <c r="I706" s="42">
        <v>2415654</v>
      </c>
      <c r="J706" s="7">
        <v>45462</v>
      </c>
      <c r="K706" s="7">
        <f t="shared" si="37"/>
        <v>46182</v>
      </c>
      <c r="L706" s="17" t="s">
        <v>1548</v>
      </c>
    </row>
    <row r="707" spans="1:13" s="13" customFormat="1" ht="18" customHeight="1" x14ac:dyDescent="0.2">
      <c r="A707" s="3" t="s">
        <v>90</v>
      </c>
      <c r="B707" s="3"/>
      <c r="C707" s="3" t="s">
        <v>446</v>
      </c>
      <c r="D707" s="4">
        <v>1831</v>
      </c>
      <c r="E707" s="4">
        <v>1831</v>
      </c>
      <c r="F707" s="16">
        <v>1831</v>
      </c>
      <c r="G707" s="5" t="s">
        <v>588</v>
      </c>
      <c r="H707" s="5" t="s">
        <v>163</v>
      </c>
      <c r="I707" s="42">
        <v>2518004</v>
      </c>
      <c r="J707" s="7">
        <v>45817</v>
      </c>
      <c r="K707" s="7">
        <f t="shared" si="37"/>
        <v>46537</v>
      </c>
      <c r="L707" s="17" t="s">
        <v>1548</v>
      </c>
    </row>
    <row r="708" spans="1:13" s="12" customFormat="1" ht="18" customHeight="1" x14ac:dyDescent="0.2">
      <c r="A708" s="3" t="s">
        <v>90</v>
      </c>
      <c r="B708" s="3"/>
      <c r="C708" s="3" t="s">
        <v>65</v>
      </c>
      <c r="D708" s="4">
        <v>1832</v>
      </c>
      <c r="E708" s="4">
        <v>1832</v>
      </c>
      <c r="F708" s="16">
        <v>1832</v>
      </c>
      <c r="G708" s="5" t="s">
        <v>588</v>
      </c>
      <c r="H708" s="5" t="s">
        <v>163</v>
      </c>
      <c r="I708" s="42">
        <v>2222380</v>
      </c>
      <c r="J708" s="7">
        <v>44840</v>
      </c>
      <c r="K708" s="7">
        <f t="shared" si="37"/>
        <v>45560</v>
      </c>
      <c r="L708" s="17" t="s">
        <v>99</v>
      </c>
      <c r="M708" s="13"/>
    </row>
    <row r="713" spans="1:13" ht="15" x14ac:dyDescent="0.25">
      <c r="J713" s="63"/>
    </row>
    <row r="714" spans="1:13" ht="15" x14ac:dyDescent="0.25">
      <c r="E714" s="51"/>
    </row>
    <row r="717" spans="1:13" ht="15" x14ac:dyDescent="0.25">
      <c r="J717" s="63"/>
    </row>
  </sheetData>
  <autoFilter ref="A5:M708" xr:uid="{00000000-0001-0000-0000-000000000000}">
    <sortState xmlns:xlrd2="http://schemas.microsoft.com/office/spreadsheetml/2017/richdata2" ref="A170:M274">
      <sortCondition sortBy="cellColor" ref="A5:A708" dxfId="50"/>
    </sortState>
  </autoFilter>
  <sortState xmlns:xlrd2="http://schemas.microsoft.com/office/spreadsheetml/2017/richdata2" ref="A6:L708">
    <sortCondition ref="A6:A708"/>
    <sortCondition ref="D6:D708"/>
  </sortState>
  <dataConsolidate/>
  <mergeCells count="5">
    <mergeCell ref="C1:I3"/>
    <mergeCell ref="A1:A3"/>
    <mergeCell ref="K1:L1"/>
    <mergeCell ref="K2:L2"/>
    <mergeCell ref="K3:L3"/>
  </mergeCells>
  <phoneticPr fontId="10" type="noConversion"/>
  <conditionalFormatting sqref="A460:C460">
    <cfRule type="expression" dxfId="49" priority="183">
      <formula>(#REF!-1)&lt;TODAY()</formula>
    </cfRule>
    <cfRule type="expression" dxfId="48" priority="184">
      <formula>(#REF!-30)&lt;TODAY()</formula>
    </cfRule>
  </conditionalFormatting>
  <conditionalFormatting sqref="A50:D50 J189:K208 I189:I241 J209:L246 A231:H241 A242:I242 I243:I246 A243:H247 I247:L247 A248:L250 A251:A254 C251:L254 A255:L290 A291:C291 E291:L291 A292:L457 A463:L576">
    <cfRule type="expression" dxfId="47" priority="49">
      <formula>($K50-1)&lt;TODAY()</formula>
    </cfRule>
    <cfRule type="expression" dxfId="46" priority="50">
      <formula>($K50-30)&lt;TODAY()</formula>
    </cfRule>
  </conditionalFormatting>
  <conditionalFormatting sqref="A65:K66">
    <cfRule type="expression" dxfId="45" priority="64">
      <formula>($K65-30)&lt;TODAY()</formula>
    </cfRule>
    <cfRule type="expression" dxfId="44" priority="63">
      <formula>($K65-1)&lt;TODAY()</formula>
    </cfRule>
  </conditionalFormatting>
  <conditionalFormatting sqref="A6:L49 A51:L64">
    <cfRule type="expression" dxfId="43" priority="35">
      <formula>($K6-1)&lt;TODAY()</formula>
    </cfRule>
    <cfRule type="expression" dxfId="42" priority="36">
      <formula>($K6-30)&lt;TODAY()</formula>
    </cfRule>
  </conditionalFormatting>
  <conditionalFormatting sqref="B253">
    <cfRule type="expression" dxfId="41" priority="1">
      <formula>($K254-1)&lt;TODAY()</formula>
    </cfRule>
    <cfRule type="expression" dxfId="40" priority="2">
      <formula>($K254-30)&lt;TODAY()</formula>
    </cfRule>
  </conditionalFormatting>
  <conditionalFormatting sqref="C190:C207">
    <cfRule type="expression" dxfId="39" priority="82">
      <formula>($K190-30)&lt;TODAY()</formula>
    </cfRule>
    <cfRule type="expression" dxfId="38" priority="81">
      <formula>($K190-1)&lt;TODAY()</formula>
    </cfRule>
  </conditionalFormatting>
  <conditionalFormatting sqref="C656:H659">
    <cfRule type="expression" dxfId="37" priority="54">
      <formula>($K656-30)&lt;TODAY()</formula>
    </cfRule>
    <cfRule type="expression" dxfId="36" priority="53">
      <formula>($K656-1)&lt;TODAY()</formula>
    </cfRule>
  </conditionalFormatting>
  <conditionalFormatting sqref="D200 B251">
    <cfRule type="expression" dxfId="35" priority="23">
      <formula>($K201-1)&lt;TODAY()</formula>
    </cfRule>
    <cfRule type="expression" dxfId="34" priority="24">
      <formula>($K201-30)&lt;TODAY()</formula>
    </cfRule>
  </conditionalFormatting>
  <conditionalFormatting sqref="D205">
    <cfRule type="expression" dxfId="33" priority="13">
      <formula>($K206-1)&lt;TODAY()</formula>
    </cfRule>
    <cfRule type="expression" dxfId="32" priority="14">
      <formula>($K206-30)&lt;TODAY()</formula>
    </cfRule>
  </conditionalFormatting>
  <conditionalFormatting sqref="D190:E192">
    <cfRule type="expression" dxfId="31" priority="43">
      <formula>($K191-1)&lt;TODAY()</formula>
    </cfRule>
    <cfRule type="expression" dxfId="30" priority="44">
      <formula>($K191-30)&lt;TODAY()</formula>
    </cfRule>
  </conditionalFormatting>
  <conditionalFormatting sqref="D193:E193">
    <cfRule type="expression" dxfId="29" priority="41">
      <formula>($K193-1)&lt;TODAY()</formula>
    </cfRule>
    <cfRule type="expression" dxfId="28" priority="42">
      <formula>($K193-30)&lt;TODAY()</formula>
    </cfRule>
  </conditionalFormatting>
  <conditionalFormatting sqref="D194:E199">
    <cfRule type="expression" dxfId="27" priority="84">
      <formula>($K195-30)&lt;TODAY()</formula>
    </cfRule>
    <cfRule type="expression" dxfId="26" priority="83">
      <formula>($K195-1)&lt;TODAY()</formula>
    </cfRule>
  </conditionalFormatting>
  <conditionalFormatting sqref="D201:E201">
    <cfRule type="expression" dxfId="25" priority="40">
      <formula>($K201-30)&lt;TODAY()</formula>
    </cfRule>
    <cfRule type="expression" dxfId="24" priority="39">
      <formula>($K201-1)&lt;TODAY()</formula>
    </cfRule>
  </conditionalFormatting>
  <conditionalFormatting sqref="D202:E203">
    <cfRule type="expression" dxfId="23" priority="8">
      <formula>($K203-30)&lt;TODAY()</formula>
    </cfRule>
    <cfRule type="expression" dxfId="22" priority="7">
      <formula>($K203-1)&lt;TODAY()</formula>
    </cfRule>
  </conditionalFormatting>
  <conditionalFormatting sqref="D206:E207">
    <cfRule type="expression" dxfId="21" priority="4">
      <formula>($K207-30)&lt;TODAY()</formula>
    </cfRule>
    <cfRule type="expression" dxfId="20" priority="3">
      <formula>($K207-1)&lt;TODAY()</formula>
    </cfRule>
  </conditionalFormatting>
  <conditionalFormatting sqref="E200">
    <cfRule type="expression" dxfId="19" priority="32">
      <formula>($K200-30)&lt;TODAY()</formula>
    </cfRule>
    <cfRule type="expression" dxfId="18" priority="31">
      <formula>($K200-1)&lt;TODAY()</formula>
    </cfRule>
  </conditionalFormatting>
  <conditionalFormatting sqref="E204">
    <cfRule type="expression" dxfId="17" priority="6">
      <formula>($K205-30)&lt;TODAY()</formula>
    </cfRule>
    <cfRule type="expression" dxfId="16" priority="5">
      <formula>($K205-1)&lt;TODAY()</formula>
    </cfRule>
  </conditionalFormatting>
  <conditionalFormatting sqref="E205">
    <cfRule type="expression" dxfId="15" priority="186">
      <formula>($K207-30)&lt;TODAY()</formula>
    </cfRule>
    <cfRule type="expression" dxfId="14" priority="185">
      <formula>($K207-1)&lt;TODAY()</formula>
    </cfRule>
  </conditionalFormatting>
  <conditionalFormatting sqref="F189:F207">
    <cfRule type="expression" dxfId="13" priority="38">
      <formula>($K189-30)&lt;TODAY()</formula>
    </cfRule>
    <cfRule type="expression" dxfId="12" priority="37">
      <formula>($K189-1)&lt;TODAY()</formula>
    </cfRule>
  </conditionalFormatting>
  <conditionalFormatting sqref="F654:F655">
    <cfRule type="expression" dxfId="11" priority="139">
      <formula>($K653-1)&lt;TODAY()</formula>
    </cfRule>
    <cfRule type="expression" dxfId="10" priority="140">
      <formula>($K653-30)&lt;TODAY()</formula>
    </cfRule>
  </conditionalFormatting>
  <conditionalFormatting sqref="G459:J462">
    <cfRule type="expression" dxfId="9" priority="75">
      <formula>($K459-1)&lt;TODAY()</formula>
    </cfRule>
    <cfRule type="expression" dxfId="8" priority="76">
      <formula>($K459-30)&lt;TODAY()</formula>
    </cfRule>
  </conditionalFormatting>
  <conditionalFormatting sqref="G50:L50 A67:L187 A188:K188 L188:L208 A189:E189 G189:H208 A190:B190 B191:B207 A191:A230 B208:F208 B209:H230 A458:J458 A461:F462 C577:L577 B577:B579 A577:A599 C578:J579 K578:L612 B580:J598 B599 C599:J610 A600:B610 A611:J612 A613:L638 A639:J650 K639:L659 A651:H652 J651:J659 I651:I660 B653:H653 A653:A659 C654:E655 G654:H655 B654:B659 A660:H660 J660:L660 A661:L708">
    <cfRule type="expression" dxfId="7" priority="125">
      <formula>($K50-1)&lt;TODAY()</formula>
    </cfRule>
    <cfRule type="expression" dxfId="6" priority="128">
      <formula>($K50-30)&lt;TODAY()</formula>
    </cfRule>
  </conditionalFormatting>
  <conditionalFormatting sqref="K458:L462 D459:F460">
    <cfRule type="expression" dxfId="5" priority="79">
      <formula>($K458-1)&lt;TODAY()</formula>
    </cfRule>
    <cfRule type="expression" dxfId="4" priority="80">
      <formula>($K458-30)&lt;TODAY()</formula>
    </cfRule>
  </conditionalFormatting>
  <conditionalFormatting sqref="L65 A459:C459">
    <cfRule type="expression" dxfId="3" priority="181">
      <formula>($K66-1)&lt;TODAY()</formula>
    </cfRule>
    <cfRule type="expression" dxfId="2" priority="182">
      <formula>($K66-30)&lt;TODAY()</formula>
    </cfRule>
  </conditionalFormatting>
  <conditionalFormatting sqref="L66">
    <cfRule type="expression" dxfId="1" priority="61">
      <formula>($K66-1)&lt;TODAY()</formula>
    </cfRule>
    <cfRule type="expression" dxfId="0" priority="62">
      <formula>($K66-30)&lt;TODAY()</formula>
    </cfRule>
  </conditionalFormatting>
  <hyperlinks>
    <hyperlink ref="I23" r:id="rId1" xr:uid="{B7943C66-62F2-447C-98B2-6331FCCC4DF1}"/>
    <hyperlink ref="I24" r:id="rId2" xr:uid="{E386CD89-B916-487E-85E3-DCC853E18317}"/>
    <hyperlink ref="I25" r:id="rId3" xr:uid="{EF010071-F090-432C-86F3-0258B46DDF92}"/>
    <hyperlink ref="I26" r:id="rId4" xr:uid="{180FECA6-3975-4967-96A9-E77C9390434C}"/>
    <hyperlink ref="I27" r:id="rId5" xr:uid="{873CB8EB-35F6-40D8-BF7C-29875392141D}"/>
    <hyperlink ref="I28" r:id="rId6" xr:uid="{A4835C49-6A24-4C64-8CCF-F83A1FC1A846}"/>
    <hyperlink ref="I29" r:id="rId7" xr:uid="{F3E624CF-5E59-4882-8356-9C38C6D99D51}"/>
    <hyperlink ref="I30" r:id="rId8" display="..\Bloco\Bloco Escalonado (BL02).pdf" xr:uid="{069EC5B2-0BFC-4E6B-975D-A09B5A4B6FA7}"/>
    <hyperlink ref="I33" r:id="rId9" display="..\Bloco\Bloco Escalonado (BL 06).pdf" xr:uid="{074CE020-5E96-4770-98E8-42C9ACC9A4C7}"/>
    <hyperlink ref="I36" r:id="rId10" xr:uid="{E65E549D-BB8A-4040-9E99-376F3E52864B}"/>
    <hyperlink ref="I37" r:id="rId11" xr:uid="{81D43DF1-D7EE-493D-956E-7764E3717668}"/>
    <hyperlink ref="I40" r:id="rId12" display="..\Bloco\Bloco Padrão Massa (CP 318).pdf" xr:uid="{4C15DB28-7A84-4213-B9AC-0AF84B8FF5C2}"/>
    <hyperlink ref="I62" r:id="rId13" xr:uid="{0EE979B4-D90F-41B2-AE70-44C75EEAE131}"/>
    <hyperlink ref="I63" r:id="rId14" display="..\Conjunto de Filmes\Conjunto de Filmes Padrão- 1812-F.pdf" xr:uid="{3B1D25F0-74E2-420A-B477-0586F0F19013}"/>
    <hyperlink ref="I400" r:id="rId15" display="..\Paquimetro\Paquimetro de Profundidade Digital (PS-038).pdf" xr:uid="{BBA2380A-E9ED-42AC-8B6B-4EF51E563EFE}"/>
    <hyperlink ref="I41" r:id="rId16" xr:uid="{58D50790-EB10-4041-A8B8-7B3E1D2034CB}"/>
    <hyperlink ref="I43" r:id="rId17" display="..\Calibre de Solda\Calibre de Solda Hi-lo (CAS-015).pdf" xr:uid="{54084567-03D7-4F60-BA36-0FB5C4DA7C0F}"/>
    <hyperlink ref="I46" r:id="rId18" display="..\Calibre de Solda\Calibrador de Solda (CAS-022).pdf" xr:uid="{112CA89E-032A-4620-A62A-51419D144920}"/>
    <hyperlink ref="I47" r:id="rId19" display="..\Calibre de Solda\LAF-2517536-Calibrador de Solda (99-01).pdf" xr:uid="{E79C4BB3-3EDD-4194-888B-AAA1A9E63AE8}"/>
    <hyperlink ref="I48" r:id="rId20" display="..\Calibre de Solda\Calibre de Solda Hi-Lo (TAG-40).pdf" xr:uid="{CCE21B3D-40DA-4855-814E-0D45C5B884FE}"/>
    <hyperlink ref="I59" r:id="rId21" display="..\Calibre de Solda\Calibre de Solda Hi-lo (TAG- 43).pdf" xr:uid="{F6EA10F0-D2EF-4F8E-89AF-3FA8E768FCBD}"/>
    <hyperlink ref="I55" r:id="rId22" display="..\Calibre de Solda\Calibre de Solda (CAS-044).pdf" xr:uid="{7F1B0141-BF69-4B7C-831C-2A6B5F705FF3}"/>
    <hyperlink ref="I60" r:id="rId23" display="..\Calibre de Solda\Calibre de Solda Hi-lo (TAG- 45).pdf" xr:uid="{7835F26D-9314-42DB-A8C2-0664ADB50B41}"/>
    <hyperlink ref="I50" r:id="rId24" display="..\Calibre de Solda\Calibre de Solda (CAS-025).pdf" xr:uid="{464E8147-260B-4AF7-949E-31965A6638F5}"/>
    <hyperlink ref="I69" r:id="rId25" display="0714.22" xr:uid="{A506987E-E73A-4D9C-83DC-42CB44DF808D}"/>
    <hyperlink ref="I70" r:id="rId26" xr:uid="{552B6ECB-3420-4D69-9D08-513ECA04A388}"/>
    <hyperlink ref="I71" r:id="rId27" xr:uid="{D0818468-ADB0-41C5-A47E-63C708A49695}"/>
    <hyperlink ref="I79" r:id="rId28" xr:uid="{591CC7EE-5A1E-4E0B-935A-605FDA239F35}"/>
    <hyperlink ref="I82" r:id="rId29" xr:uid="{D23EF3B6-5259-49C3-A1B5-8B997361797D}"/>
    <hyperlink ref="I83" r:id="rId30" xr:uid="{87B519AF-453D-4033-A007-3FB2755CFFEA}"/>
    <hyperlink ref="I86" r:id="rId31" xr:uid="{5D02EEEE-A63C-4447-9883-E2DF34242B67}"/>
    <hyperlink ref="I94" r:id="rId32" xr:uid="{0D4A6A3A-B301-45ED-ABD2-E41033DF659A}"/>
    <hyperlink ref="I134" r:id="rId33" display="..\Esquadro\ESQ-303 (2311802).pdf" xr:uid="{74541286-C4A5-414D-944A-C32DD5059BFD}"/>
    <hyperlink ref="I140" r:id="rId34" display="..\Fluxometro (bibimetro)\Fluxômetro (Bibímetro -FLX-001).pdf" xr:uid="{26CE4D03-6546-4128-A766-BC9C97B55F61}"/>
    <hyperlink ref="I141" r:id="rId35" display="..\Fluxometro (Bibimetro)\Bibimetro (MDV-001).pdf" xr:uid="{585D4CE3-B49C-4524-BC76-D3E7032C11B9}"/>
    <hyperlink ref="I159" r:id="rId36" xr:uid="{07372747-4C31-4FFD-BF2B-4312BBEEF366}"/>
    <hyperlink ref="I161" r:id="rId37" xr:uid="{44676C63-9723-4BFC-82A5-640C50014DE7}"/>
    <hyperlink ref="I169" r:id="rId38" display="..\Luximetro\Luxímetro (1252).pdf" xr:uid="{ECDCCE89-5929-49C7-89B9-4685A1A69736}"/>
    <hyperlink ref="I260" r:id="rId39" xr:uid="{293131A2-C979-4899-975F-397EEA953019}"/>
    <hyperlink ref="I261" r:id="rId40" xr:uid="{60099C98-BD26-44A7-B05D-00682F3709C1}"/>
    <hyperlink ref="I262" r:id="rId41" xr:uid="{0CD28D48-501D-42FB-B3C8-EC3EE9290954}"/>
    <hyperlink ref="I263" r:id="rId42" xr:uid="{61E453C6-8CD3-4E6D-A1EE-6259E928D091}"/>
    <hyperlink ref="I264" r:id="rId43" xr:uid="{1ABC006A-FCB3-4B05-82F4-2CF73DB266C1}"/>
    <hyperlink ref="I265" r:id="rId44" xr:uid="{B54A27F5-D491-4448-BA54-E2FE7B9A2D3C}"/>
    <hyperlink ref="I150" r:id="rId45" display="..\Haste padrão\Haste Padrão (319-1).pdf" xr:uid="{4FB89FC1-2F35-4265-A54D-AE8F672C50A9}"/>
    <hyperlink ref="I151" r:id="rId46" display="..\Haste padrão\Haste Padrão (319-2).pdf" xr:uid="{6B753D85-8BFA-4243-8EAC-8E4C8973D17A}"/>
    <hyperlink ref="I148" r:id="rId47" display="..\Haste padrão\Haste Padrão (1918-1).pdf" xr:uid="{22E87662-1816-4254-BFA0-DB039FA81E56}"/>
    <hyperlink ref="I149" r:id="rId48" display="..\Haste padrão\Haste Padrão (1918-2).pdf" xr:uid="{A8B2B6AE-FC39-4FA0-A010-9E138C56E7BC}"/>
    <hyperlink ref="I277" r:id="rId49" display="..\Medidor de Camada - Espessura\Medidor de Camada Úmida (134).pdf" xr:uid="{F21F8843-776A-41B6-8B62-945B1B156857}"/>
    <hyperlink ref="I281" r:id="rId50" display="..\Medidor de Camada - Espessura\Medidor de Camada Ferroso (TAG-1812).pdf" xr:uid="{A5865BCA-5AC1-492C-A7EE-9996450194A0}"/>
    <hyperlink ref="I284" r:id="rId51" display="..\Medidor de Camada - Espessura\Medidor de Camadas T.Pente (1972).pdf" xr:uid="{5339E403-C926-4C54-A5BB-F49DD07FF539}"/>
    <hyperlink ref="I288" r:id="rId52" display="..\Medidor de Camada - Espessura\Medidor de Espessura Ultrassônico (138).pdf" xr:uid="{32B54354-6503-405B-8432-315F1A6672C0}"/>
    <hyperlink ref="I297" r:id="rId53" display="..\Megômetro\MEGÔMETRO (MEGABRAS MD-1035e  S.MU31).pdf" xr:uid="{96EE7A58-5711-4106-BD8F-CE8507D5D981}"/>
    <hyperlink ref="I300" r:id="rId54" display="..\Megômetro\Meghometro (1116).pdf" xr:uid="{8FD567BA-2BBD-4B14-855C-CB163CFA4EC1}"/>
    <hyperlink ref="I307" r:id="rId55" xr:uid="{A511A563-CE08-4521-B72A-CD7CA06A6ABF}"/>
    <hyperlink ref="I306" r:id="rId56" display="..\Micrometro\Micrometro (319).pdf" xr:uid="{BABC328D-08B1-4FE1-A26A-DF98F17B1937}"/>
    <hyperlink ref="I309" r:id="rId57" display="..\Micrometro\Micrômetro (1918).pdf" xr:uid="{5B168B81-503C-4D92-9492-D0E6239F1BA2}"/>
    <hyperlink ref="I314" r:id="rId58" display="..\Multimetro\Multímetro (1412).pdf" xr:uid="{233B9322-CD80-4FAA-9B1D-3CD683F28134}"/>
    <hyperlink ref="I315" r:id="rId59" xr:uid="{23FAA01E-CD81-4A22-B069-FC4B81E6C436}"/>
    <hyperlink ref="I323" r:id="rId60" display="..\Nível\Nível de Bolha (NI-105-22).pdf" xr:uid="{28DA837D-197F-4851-B3EF-E9905E1A8905}"/>
    <hyperlink ref="I334" r:id="rId61" display="..\Nível\Nivel Bolha (NI-001).pdf" xr:uid="{A5FC6FEC-B65F-454E-817F-C462B483EAE2}"/>
    <hyperlink ref="I335" r:id="rId62" display="..\Nível\Nível Bolha (NI-032).pdf" xr:uid="{F4CE69D5-7DE5-4918-A1FE-81C259B42F01}"/>
    <hyperlink ref="I336" r:id="rId63" display="..\Nível\Nível Bolha (NI-051).pdf" xr:uid="{77F2D2AB-2298-4E5F-98D5-7D96BE9E6CB8}"/>
    <hyperlink ref="I367" r:id="rId64" display="..\Nível\Nível Bolha (NI-063).pdf" xr:uid="{ADB0E2C3-2999-462B-9643-1E7197D9E0C9}"/>
    <hyperlink ref="I368" r:id="rId65" display="..\Nível\Nível Bolha (NI-064).pdf" xr:uid="{EF84AEB7-9146-4DBA-8C81-8F77A94D63D6}"/>
    <hyperlink ref="I369" r:id="rId66" display="..\Nível\Nível Bolha (NI-065).pdf" xr:uid="{073B9F44-F17B-4372-9AA2-433A29239C59}"/>
    <hyperlink ref="I371" r:id="rId67" display="..\Nível\Nível Bolha (NI-067).pdf" xr:uid="{804EDA58-F79A-41B3-9F1A-0EC6FEA0F9EA}"/>
    <hyperlink ref="I372" r:id="rId68" xr:uid="{3C2F90B4-A964-44C0-B84C-4706D8E349EC}"/>
    <hyperlink ref="I373" r:id="rId69" xr:uid="{B7ECC535-F8FB-4D0F-856A-6FDEB481D316}"/>
    <hyperlink ref="I374" r:id="rId70" xr:uid="{22AB2C4A-0760-49DD-BCD0-33CD25B4B5F2}"/>
    <hyperlink ref="I376" r:id="rId71" display="..\Nível\Nível Bolha (NI-072).pdf" xr:uid="{7CC230D5-E56B-4413-95CA-FE855A66FFF3}"/>
    <hyperlink ref="I330" r:id="rId72" xr:uid="{B753B69E-E2BC-43AA-8036-5D0C9CA943E4}"/>
    <hyperlink ref="I331" r:id="rId73" xr:uid="{53CC9565-4808-4AEF-8FA2-77FA2B56FB13}"/>
    <hyperlink ref="I332" r:id="rId74" xr:uid="{B6392708-CDD0-4C03-B3CF-5D61008D106D}"/>
    <hyperlink ref="I333" r:id="rId75" xr:uid="{69EB7C82-9417-4078-A35D-EDFA9B29928D}"/>
    <hyperlink ref="I402" r:id="rId76" xr:uid="{002A5C42-F234-4FD2-9167-AD2A8A5684D7}"/>
    <hyperlink ref="I405" r:id="rId77" xr:uid="{26E29655-470D-442C-9ED8-4CF7DF39609C}"/>
    <hyperlink ref="I408" r:id="rId78" xr:uid="{BFDCFA8D-EFB7-4FE7-AD07-E05E661C1D15}"/>
    <hyperlink ref="I412" r:id="rId79" xr:uid="{EDC10152-F5A8-4ED5-82A7-86FBF9F97781}"/>
    <hyperlink ref="I416" r:id="rId80" xr:uid="{9C031465-2C49-4565-93E3-E27371932223}"/>
    <hyperlink ref="I417" r:id="rId81" xr:uid="{055AE075-2832-4296-BBBD-ADA04AE8A99D}"/>
    <hyperlink ref="I426" r:id="rId82" xr:uid="{4773C3BA-0A51-4AD3-B84A-344BF9ACD14C}"/>
    <hyperlink ref="I427" r:id="rId83" xr:uid="{A03F2097-C439-4A53-9876-8070742C3B9F}"/>
    <hyperlink ref="I428" r:id="rId84" xr:uid="{FF065E4E-381E-4E1C-AAF4-6D17C3FE6DDF}"/>
    <hyperlink ref="I429" r:id="rId85" xr:uid="{7B3F62CD-0A68-4938-9772-EC8D2D8B5C6A}"/>
    <hyperlink ref="I431" r:id="rId86" display="..\Relogio Comparador\Relógio Comparador Digital (188).pdf" xr:uid="{056869A4-8D0F-493E-AA98-3EF9CBB9B51A}"/>
    <hyperlink ref="I440" r:id="rId87" xr:uid="{89CEA579-355E-46C5-A3BE-BA0720890C93}"/>
    <hyperlink ref="I441" r:id="rId88" display="..\Termohigrometro\Termohigrometro Digital (032).pdf" xr:uid="{2F98FA16-DEF8-445F-8355-5453E28CFBC2}"/>
    <hyperlink ref="I442" r:id="rId89" xr:uid="{F0F8DDF9-9142-4CCC-8FAB-DE0F47820D43}"/>
    <hyperlink ref="I444" r:id="rId90" xr:uid="{AD10068F-454F-40C6-8310-235EDC065C67}"/>
    <hyperlink ref="I446" r:id="rId91" xr:uid="{C1125BC8-8A2E-4C15-AF3B-5C2F503846AA}"/>
    <hyperlink ref="I447" r:id="rId92" xr:uid="{128D5E25-2385-42D0-B5B4-A8577DCDE5D7}"/>
    <hyperlink ref="I448" r:id="rId93" display="..\Termohigrometro\Termohigrometro Digital (131).pdf" xr:uid="{5358663D-25C7-45A7-A1F4-BC4240E5188F}"/>
    <hyperlink ref="I449" r:id="rId94" display="..\Termohigrometro\Termohigrometro Digital (132).pdf" xr:uid="{3D64A04A-0514-41B0-8ABB-648BCA3A30E5}"/>
    <hyperlink ref="I454" r:id="rId95" display="..\Termohigrometro\Termohigrômetro (TAG-1814).pdf" xr:uid="{114A9AE7-E0D2-4CB5-A8C2-439558170152}"/>
    <hyperlink ref="I455" r:id="rId96" display="..\Termohigrometro\Termohigrômetro (1815).pdf" xr:uid="{E35E924F-AE19-4793-AEAA-DD9CBFAE5C4B}"/>
    <hyperlink ref="I469" r:id="rId97" xr:uid="{FB7CC97E-90ED-436B-B2DF-49AA7ABE564C}"/>
    <hyperlink ref="I472" r:id="rId98" xr:uid="{3F8871A3-6AB2-4E9C-B9EE-A10E87CEA051}"/>
    <hyperlink ref="I473" r:id="rId99" xr:uid="{E375A486-FEBF-4462-AFCF-E32E1A533ADE}"/>
    <hyperlink ref="I474" r:id="rId100" xr:uid="{40DBF316-E51D-41E9-8CEE-9AD6EF46F086}"/>
    <hyperlink ref="I475" r:id="rId101" xr:uid="{928359F3-955E-425F-8CC2-FD5C983F3021}"/>
    <hyperlink ref="I476" r:id="rId102" display="..\Termometro\Termômetro Infravermelho (TAG-30).pdf" xr:uid="{F6619DC2-1B61-4EEF-A324-5209ACCC2E56}"/>
    <hyperlink ref="I479" r:id="rId103" display="..\Termometro\Termômetro Infravermelho (TAG-144).pdf" xr:uid="{4F3487E4-0689-4483-BD7B-733D5E0F45C1}"/>
    <hyperlink ref="I480" r:id="rId104" display="..\Termometro\Termômetro Infravermelho - TI-001 (TAG-170).pdf" xr:uid="{0FDE4433-AB93-4F30-95E8-4F944376145E}"/>
    <hyperlink ref="I481" r:id="rId105" display="..\Termometro\Termômetro Digital (TER-171).pdf" xr:uid="{7070DFB4-3008-4472-9D8B-F764919B9E7B}"/>
    <hyperlink ref="I482" r:id="rId106" xr:uid="{A0155E6D-B498-4012-A8A5-927BE7E7A4AD}"/>
    <hyperlink ref="I483" r:id="rId107" xr:uid="{CDDA31D4-2664-46E7-BA34-424A7F9AB75B}"/>
    <hyperlink ref="I485" r:id="rId108" xr:uid="{3AE73547-CDC9-4A7B-BF0D-6CF1933E6DFC}"/>
    <hyperlink ref="I506" r:id="rId109" display="..\Torquimetro\Torquimetro (0815).pdf" xr:uid="{EAB66504-82E0-4119-B0B5-3D4A66699D89}"/>
    <hyperlink ref="I515" r:id="rId110" xr:uid="{94B0EF87-FB22-4D81-BF96-0FF76CA82054}"/>
    <hyperlink ref="I538" r:id="rId111" xr:uid="{6DC5328D-073B-4E06-B567-888AA0996EEA}"/>
    <hyperlink ref="I539" r:id="rId112" display="..\Trena\Trena (TR-414).pdf" xr:uid="{7F2E2890-540A-4727-90BE-5CF314C5A22C}"/>
    <hyperlink ref="I540" r:id="rId113" display="..\Trena\Trena (TR- 414-1).pdf" xr:uid="{C6B34AD4-3AD1-4142-97E5-23EA47B698AB}"/>
    <hyperlink ref="I541" r:id="rId114" display="..\Trena\Trena (TR-415).pdf" xr:uid="{56C131AF-5684-4C0B-A8D0-47543BA1A09F}"/>
    <hyperlink ref="I542" r:id="rId115" display="..\Trena\Trena (TR-418).pdf" xr:uid="{2E5D365A-0E45-49C1-AEB2-239ABCF4A7AA}"/>
    <hyperlink ref="I543" r:id="rId116" display="..\Trena\Trena (TR-420).pdf" xr:uid="{841E0639-CF84-4D4C-941C-518BBE1115B5}"/>
    <hyperlink ref="I544" r:id="rId117" display="..\Trena\Trena (TR-421).pdf" xr:uid="{A4D13072-C7CA-4B7B-9D04-6DF136A14968}"/>
    <hyperlink ref="I545" r:id="rId118" display="..\Trena\Trena (TR-422).pdf" xr:uid="{584A1C51-2792-4462-9B3D-EE644EA4047C}"/>
    <hyperlink ref="I546" r:id="rId119" display="..\Trena\Trena (TR-423).pdf" xr:uid="{EE09F25E-C265-49A6-9580-A40F243FCE28}"/>
    <hyperlink ref="I547" r:id="rId120" display="..\Trena\Trena (TR-424).pdf" xr:uid="{15A6E796-0D2E-431C-8F95-473EA6B14ADB}"/>
    <hyperlink ref="I548" r:id="rId121" display="..\Trena\Trena (TR-425).pdf" xr:uid="{51C7E99B-48DB-4076-9F51-73376DF51194}"/>
    <hyperlink ref="I549" r:id="rId122" display="..\Trena\Trena (TRE-003).pdf" xr:uid="{D6537B32-0DD6-4BAE-9C45-826726A311F8}"/>
    <hyperlink ref="I557" r:id="rId123" display="..\Trena\Trena (TR-012).pdf" xr:uid="{2605DC62-1CFA-4F64-A412-A05D347E2171}"/>
    <hyperlink ref="I558" r:id="rId124" xr:uid="{8B3A96DB-8E55-4B91-B2DC-A517D6647A52}"/>
    <hyperlink ref="I559" r:id="rId125" xr:uid="{FED57BFC-DA09-4526-BA02-14416266AE83}"/>
    <hyperlink ref="I560" r:id="rId126" xr:uid="{F34C0721-AB27-4E3F-AE48-2FF6A2BE9228}"/>
    <hyperlink ref="I561" r:id="rId127" xr:uid="{672D3E0C-FB83-4ED9-AB9F-D7883FC11249}"/>
    <hyperlink ref="I562" r:id="rId128" display="..\Trena\Trena (TRE-098-003).pdf" xr:uid="{D688A487-9883-4D4A-8883-F26EF556E592}"/>
    <hyperlink ref="I582" r:id="rId129" display="..\Trena\Trena (TR-412).pdf" xr:uid="{7F6B0A48-AA37-409F-BC74-9FDED5BDB2F7}"/>
    <hyperlink ref="I583" r:id="rId130" xr:uid="{CE74C04A-DD63-410C-90CB-1FDC17650AF0}"/>
    <hyperlink ref="I584" r:id="rId131" display="..\Trena\Trena (TR- 415-1).pdf" xr:uid="{2DE45F5E-4C8E-4A28-A3CA-ABB9899FBEEE}"/>
    <hyperlink ref="I585" r:id="rId132" display="..\Trena\Trena (TR-416).pdf" xr:uid="{4A20C540-C2C0-4288-BCE7-2E7A66D86085}"/>
    <hyperlink ref="I586" r:id="rId133" display="..\Trena\Trena (TR-417).pdf" xr:uid="{65BF6D32-8A87-4445-94C7-A13F4298033F}"/>
    <hyperlink ref="I587" r:id="rId134" display="..\Trena\Trena (TR-419).pdf" xr:uid="{8EA99185-8608-494A-8F9D-4E7967ABAF26}"/>
    <hyperlink ref="I588" r:id="rId135" display="..\Trena\Trena (TR-526).pdf" xr:uid="{E66C1FE4-D6E8-49E4-BC6C-863B093CEB0F}"/>
    <hyperlink ref="I589" r:id="rId136" display="..\Trena\Trena (TR-527).pdf" xr:uid="{AD033AD0-4942-4A95-9CA0-260475822F90}"/>
    <hyperlink ref="I590" r:id="rId137" display="..\Trena\Trena (TR-528).pdf" xr:uid="{6A8A186C-C798-4516-9BA0-3A2CC0D6F1D3}"/>
    <hyperlink ref="I591" r:id="rId138" xr:uid="{28BC6984-AEDF-43B1-AA03-5B599D16CF73}"/>
    <hyperlink ref="I592" r:id="rId139" xr:uid="{34082BC4-6EDC-4010-9DC1-F7CD0AF94C49}"/>
    <hyperlink ref="I593" r:id="rId140" xr:uid="{49EB077C-48E9-45F0-91C0-2B7E18C42450}"/>
    <hyperlink ref="I594" r:id="rId141" xr:uid="{9A3A430E-2D3D-4C63-8DF2-ECDFE4860ED8}"/>
    <hyperlink ref="I595" r:id="rId142" xr:uid="{0749957A-57F6-45C2-84B3-741ED15C3BB8}"/>
    <hyperlink ref="I596" r:id="rId143" xr:uid="{7A45597D-D980-4DD2-9BDD-674E8DD8FAB8}"/>
    <hyperlink ref="I597" r:id="rId144" xr:uid="{AC2579F2-7BFB-437C-A5A3-3E0B9D3F42DD}"/>
    <hyperlink ref="I598" r:id="rId145" display="..\Trena\Trena (TR-536).pdf" xr:uid="{8EA7FA25-F7E9-419B-8D83-94FBB80A1FD8}"/>
    <hyperlink ref="I599" r:id="rId146" display="..\Trena\Trena (TR-536-1).pdf" xr:uid="{30E52E63-4ABE-48FE-AA48-566262448A5A}"/>
    <hyperlink ref="I600" r:id="rId147" display="..\Trena\Trena (TR-537).pdf" xr:uid="{5EC89393-1467-4FF2-82F4-7FD182D43A40}"/>
    <hyperlink ref="I655" r:id="rId148" display="..\Trena\Trena (TRE-098-001).pdf" xr:uid="{060625DE-0C03-4E3E-8251-0019FF85C805}"/>
    <hyperlink ref="I656" r:id="rId149" display="..\Trena\Trena (TRE-098-002).pdf" xr:uid="{E8C3108E-BD40-48AA-8F5B-1EB1491E3BE7}"/>
    <hyperlink ref="I658" r:id="rId150" xr:uid="{FA40D5F2-D4C0-4299-AAE3-A2321A4986C4}"/>
    <hyperlink ref="I657" r:id="rId151" display="..\Trena\Trena (TRE-098-003).pdf" xr:uid="{BB8965AC-A1AB-44E6-A238-99CC3090E259}"/>
    <hyperlink ref="I659" r:id="rId152" xr:uid="{D1BAB29D-0043-4500-95E8-6D8F604905A6}"/>
    <hyperlink ref="I660" r:id="rId153" xr:uid="{8AE13BEC-89C5-48AF-A0F7-5497F22EE971}"/>
    <hyperlink ref="I665" r:id="rId154" display="..\Tubo Colorido - Decantador\Tubo decantador Graduado - TD201C.pdf" xr:uid="{08B4A0FA-9B6E-4613-A213-92AF85D6DCCD}"/>
    <hyperlink ref="I666" r:id="rId155" xr:uid="{4A4135B4-ED5A-4A4C-8BEC-57E33B0A3422}"/>
    <hyperlink ref="I667" r:id="rId156" display="D-0688007-0620" xr:uid="{80A3E521-9D9B-4BFB-836F-B309A2689CC4}"/>
    <hyperlink ref="I668" r:id="rId157" xr:uid="{7519F5DE-B461-428D-93E2-B89EB90D19A4}"/>
    <hyperlink ref="I669" r:id="rId158" xr:uid="{6617DC9D-22D9-4F51-95D3-9CAE508B33A9}"/>
    <hyperlink ref="I670" r:id="rId159" xr:uid="{A90E7166-DE4F-48CA-AB02-937146B04417}"/>
    <hyperlink ref="I695" r:id="rId160" display="..\Yoke\Yoke (181).pdf" xr:uid="{F42A6775-E8D5-4BB1-9BD8-7912E80F7298}"/>
    <hyperlink ref="I696" r:id="rId161" display="..\Yoke\Yoke (182).pdf" xr:uid="{7441F706-6B46-4D36-8A1B-2BB5741BE44A}"/>
    <hyperlink ref="I697" r:id="rId162" display="..\Yoke\YOKE 183.pdf" xr:uid="{810AA274-11E7-42FB-BAB8-800BE360FB13}"/>
    <hyperlink ref="I698" r:id="rId163" xr:uid="{E6E504A3-0D5C-4814-9E76-540FCF4C4BAF}"/>
    <hyperlink ref="I699" r:id="rId164" display="..\Yoke\Yoke (185).pdf" xr:uid="{40CAAB1D-02F0-464B-BE52-40FC0CE12BC1}"/>
    <hyperlink ref="I700" r:id="rId165" display="..\Yoke\Yoke (186).pdf" xr:uid="{B893D460-5E1E-42B1-BD5E-D205546127A7}"/>
    <hyperlink ref="I703" r:id="rId166" display="..\Yoke\Yoke (TAG-1295).pdf" xr:uid="{46B52419-42B4-4336-B711-FD04C0B8DAF8}"/>
    <hyperlink ref="I707" r:id="rId167" display="..\Yoke\Yoke (1831).pdf" xr:uid="{BBB677E1-F162-4E92-B1C1-C820D9F5DC10}"/>
    <hyperlink ref="I708" r:id="rId168" display="..\Yoke\Yoke (1832).pdf" xr:uid="{B442C4A2-5CAC-4143-B6C1-0E1C21CD827E}"/>
    <hyperlink ref="I470" r:id="rId169" xr:uid="{892ED4A3-3044-4998-B0F6-9973C7260DDA}"/>
    <hyperlink ref="I471" r:id="rId170" xr:uid="{C6215F15-3E3A-4524-8A6B-370EF6C70125}"/>
    <hyperlink ref="I409" r:id="rId171" xr:uid="{5CBA1597-F738-487C-9766-5AA6CA2E7243}"/>
    <hyperlink ref="I397" r:id="rId172" xr:uid="{4456A9B0-DAD2-4B25-9C17-790CC0FDDD0E}"/>
    <hyperlink ref="I390" r:id="rId173" display="..\Clinometro\Clinômetro (Medidor de Inclinação Digital)- 1864.pdf" xr:uid="{C36023C9-36FC-4991-957A-DEBDC728C012}"/>
    <hyperlink ref="I198" r:id="rId174" display="..\Manômetro\MAN-01_2303331.pdf" xr:uid="{D8C93F79-0C88-4A4C-A8D9-A5279AD9528F}"/>
    <hyperlink ref="I199" r:id="rId175" display="..\Manômetro\MAN-02_2303332.pdf" xr:uid="{33E8E7AB-8B7A-40E2-9F19-B5BAD2AB8D32}"/>
    <hyperlink ref="I200" r:id="rId176" display="..\Manômetro\MAN-03_2303333.pdf" xr:uid="{0558A188-F4B0-4EA1-BE16-B89E0972F5FE}"/>
    <hyperlink ref="I201" r:id="rId177" display="..\Manômetro\MAN-04_2303334.pdf" xr:uid="{EB7D0C9B-A0B5-4F2F-8F56-F2CE8FD781A4}"/>
    <hyperlink ref="I202" r:id="rId178" display="..\Manômetro\MAN-05-A_2303335.pdf" xr:uid="{0B2EB29C-232D-4628-B2A5-A7A02F67E51B}"/>
    <hyperlink ref="I203" r:id="rId179" display="..\Manômetro\MAN-05-B_2303336.pdf" xr:uid="{F2AB08FF-FC99-43C6-BD34-CD98071089D8}"/>
    <hyperlink ref="I204" r:id="rId180" display="..\Manômetro\MAN-06_2303493.pdf" xr:uid="{3CC595C1-7194-4742-B0FF-4B7F058A497B}"/>
    <hyperlink ref="I205" r:id="rId181" display="..\Manômetro\MAN-07_2303494.pdf" xr:uid="{D9E1EC7D-66BC-4249-8FA0-5D6036BD81D8}"/>
    <hyperlink ref="I206" r:id="rId182" display="..\Manômetro\MAN-08-A_2303495.pdf" xr:uid="{0B0B81D1-54C4-4717-B5AC-B7C6BE34AFEB}"/>
    <hyperlink ref="I207" r:id="rId183" display="..\Manômetro\MAN-08-B_2303496.pdf" xr:uid="{902814CE-BEDC-4F2E-84F0-9C0E0DC0C6D5}"/>
    <hyperlink ref="I208" r:id="rId184" display="..\Manômetro\MAN-09-A_2303497.pdf" xr:uid="{DFDC84B9-83FC-4A7A-8A59-B7FDE77E4090}"/>
    <hyperlink ref="I209" r:id="rId185" display="..\Manômetro\MAN-09-B_2303498.pdf" xr:uid="{707564D7-E244-4432-9973-307471970472}"/>
    <hyperlink ref="I210" r:id="rId186" display="..\Manômetro\MAN-10-A_2303499.pdf" xr:uid="{31EA6D17-62DF-44E9-958F-080BDECB60D6}"/>
    <hyperlink ref="I211" r:id="rId187" display="..\Manômetro\MAN-10-B_2303500.pdf" xr:uid="{9EF21664-2911-4A16-8DC2-B1E0108EF2B6}"/>
    <hyperlink ref="I212" r:id="rId188" display="..\Manômetro\MAN-11-A_2303501.pdf" xr:uid="{FA473462-E83E-4261-BE86-0DF55D95015B}"/>
    <hyperlink ref="I213" r:id="rId189" display="..\Manômetro\MAN-11-B_2303502.pdf" xr:uid="{A5836F3C-B3A4-4483-86FA-69E4705A03F8}"/>
    <hyperlink ref="I675" r:id="rId190" display="..\Valvula de Segurança\VL-01_2303337.pdf" xr:uid="{99C170ED-CE96-4990-BA08-FE75CA2C0A30}"/>
    <hyperlink ref="I301" r:id="rId191" display="..\Megômetro\Megômetro (1564).pdf" xr:uid="{D171962A-0293-491F-ABCF-041642CAC243}"/>
    <hyperlink ref="I302" r:id="rId192" display="..\Megômetro\Megômetro (1819).pdf" xr:uid="{6A4D31D7-CDE0-481C-8B09-B309F74DBB93}"/>
    <hyperlink ref="I303" r:id="rId193" display="..\Megômetro\Megômetro (1820).pdf" xr:uid="{961FC867-B083-4557-8D37-126B0019714A}"/>
    <hyperlink ref="I183" r:id="rId194" display="..\Manômetro\MAN-3054 (2304190).pdf" xr:uid="{27053038-DDE8-4544-B091-240D1FF371E0}"/>
    <hyperlink ref="I188" r:id="rId195" display="..\Manômetro\MAN-239790 (2304195).pdf" xr:uid="{50CFF12E-7A41-4B2B-B1E5-2B008A0F6555}"/>
    <hyperlink ref="I189" r:id="rId196" display="..\Manômetro\MAN-239791 (2304196).pdf" xr:uid="{3F5D5F5A-D3EA-4A51-A7EE-061208707B89}"/>
    <hyperlink ref="I179" r:id="rId197" display="..\Manômetro\MAN-1538 (2304191).pdf" xr:uid="{FA732D0F-E2C7-4FE8-BE00-82E5D2E68A54}"/>
    <hyperlink ref="I298" r:id="rId198" display="..\Megômetro\Megometro -953(2300535).pdf" xr:uid="{A21F001B-699B-4D95-B4FD-C9C6B9E31E8B}"/>
    <hyperlink ref="I299" r:id="rId199" display="..\Megômetro\Megometro-958 (2300536).pdf" xr:uid="{301EB9B2-BCCE-4E40-AD20-EAFC6E527253}"/>
    <hyperlink ref="I89" r:id="rId200" display="1402.24." xr:uid="{210F80E5-5C79-4823-A36C-08B6B657D4F9}"/>
    <hyperlink ref="I88" r:id="rId201" display="0156.23" xr:uid="{813C8559-77AF-4BD8-8004-03FD62CBFCF3}"/>
    <hyperlink ref="I653" r:id="rId202" display="..\Trena\Trena (TRE-004).pdf" xr:uid="{5108417D-D10C-4FA5-9E1A-840C478A1EDB}"/>
    <hyperlink ref="I172" r:id="rId203" display="..\Manômetro\238_2304976.pdf" xr:uid="{ED55DEFD-AC2C-4A05-A46A-CAD3DD6F7E09}"/>
    <hyperlink ref="I173" r:id="rId204" display="..\Manômetro\243_2304978.pdf" xr:uid="{7B85F3AB-1853-449C-AF1C-966845BA3D07}"/>
    <hyperlink ref="I182" r:id="rId205" display="..\Manômetro\1997_2304979.pdf" xr:uid="{7ED25933-4388-4C80-99A3-D7F2820105EB}"/>
    <hyperlink ref="I87" r:id="rId206" display="0183.23" xr:uid="{CB00BBF9-093D-43B7-8E0D-E31A1AA57226}"/>
    <hyperlink ref="I478" r:id="rId207" display="..\Termometro\Termômetro Infravermelho (TAG-143).pdf" xr:uid="{861358A4-3D58-40BE-B4F3-1EF45C950201}"/>
    <hyperlink ref="I167" r:id="rId208" display="..\Luximetro\Luxímetro (0776).pdf" xr:uid="{B3A7977A-FC04-4E08-AE06-4C274E24241D}"/>
    <hyperlink ref="I10" r:id="rId209" display="..\Alicate Amperimetro\Alicate Amperímetro (1915).pdf" xr:uid="{812EA0A0-F271-456D-AB1E-6B8AC362EC03}"/>
    <hyperlink ref="I191" r:id="rId210" display="..\Manômetro\Manômetro Analogico (239794 ) 2425227.pdf" xr:uid="{FB2E8D0E-02B5-4733-8D7F-FA19FE3963E0}"/>
    <hyperlink ref="I42" r:id="rId211" display="..\Calibre de Solda\Calibre de Solda (CAS-004).pdf" xr:uid="{A1113EFC-DBB5-4106-A0E3-EF10B3F56E20}"/>
    <hyperlink ref="I45" r:id="rId212" display="..\Calibre de Solda\Calibre de Solda (CAS-021).pdf" xr:uid="{D4C38B1A-A480-4719-A8DD-80A9F686C00A}"/>
    <hyperlink ref="I52" r:id="rId213" display="..\Calibre de Solda\Calibre de Solda (CAS-030).pdf" xr:uid="{C6807078-416A-494A-A803-D2BC9E1C97EB}"/>
    <hyperlink ref="I391" r:id="rId214" display="..\Clinometro\ESQN-001_2305348.pdf" xr:uid="{66E5A441-4CF3-4A12-8C5E-2E2A6CB746F2}"/>
    <hyperlink ref="I108" r:id="rId215" display="..\Esquadro\MDA-001_2305351.pdf" xr:uid="{F6FA344A-CA94-4627-BEA3-37249A2BB766}"/>
    <hyperlink ref="I404" r:id="rId216" display="..\Paquimetro\Paquimetro Quadrimensional (PAQ-009).pdf" xr:uid="{F2BF388A-05DE-42F5-8E4D-499800742AA7}"/>
    <hyperlink ref="I602" r:id="rId217" display="..\Trena\Trena (TR-539).pdf" xr:uid="{B23C5856-08DA-48C6-8E8C-082ADE2B42A2}"/>
    <hyperlink ref="I601" r:id="rId218" display="..\Trena\Trena (TR-538).pdf" xr:uid="{E7645AD1-39BC-4DF1-BF7C-F75F6BF999B2}"/>
    <hyperlink ref="I672" r:id="rId219" display="..\Ultrassom Phased Array\Ultrassom Phased Array (END-001).pdf" xr:uid="{9B8FCEF6-09B7-48F5-A572-1DECD10752F7}"/>
    <hyperlink ref="I491" r:id="rId220" display="..\Termometro\Termômetro Infravermelho (TAG-2106).pdf" xr:uid="{60D367F0-B1D9-4DD8-904C-4ACCF95686DB}"/>
    <hyperlink ref="I492" r:id="rId221" display="..\Termometro\Termômetro Infravermelho (TAG-2107).pdf" xr:uid="{980B87EB-4FAD-4D38-B1F5-BCD138379B21}"/>
    <hyperlink ref="I459" r:id="rId222" display="..\Termohigrometro\Termohigrômetro (TAG-2110).pdf" xr:uid="{07B17F76-5DA3-4CFA-AB2A-AB68FA59A4ED}"/>
    <hyperlink ref="I458" r:id="rId223" display="..\Termohigrometro\Termohigrometo (2109).pdf" xr:uid="{DB36C4FB-B9A5-4161-8096-4C7BEBA11E64}"/>
    <hyperlink ref="I460" r:id="rId224" display="..\Termohigrometro\Termohigrômetro (TAG-2111).pdf" xr:uid="{7A0A2771-62D8-4E48-B303-8CCB0586A1FB}"/>
    <hyperlink ref="I461" r:id="rId225" display="..\Termohigrometro\Termohigrômetro (TAG-2112).pdf" xr:uid="{1939CD7F-98FE-423C-B619-4AEA957A775E}"/>
    <hyperlink ref="I457" r:id="rId226" display="..\Termohigrometro\Termohigrômetro (TAG-2108).pdf" xr:uid="{C84595B7-6CED-4F26-B091-03E2DA0CC2B2}"/>
    <hyperlink ref="I343" r:id="rId227" display="..\Nível\Nível Bolha (NI-284).pdf" xr:uid="{F9A735E0-C406-4874-A829-255077838486}"/>
    <hyperlink ref="I344" r:id="rId228" display="..\Nível\Nível Bolha (NI-285).pdf" xr:uid="{23AAC635-ACFB-4144-A884-604C7D5471C3}"/>
    <hyperlink ref="I345" r:id="rId229" display="..\Nível\Nível Bolha (NI-286).pdf" xr:uid="{70AAF6CF-8A8F-4266-A178-0FF56A667EB2}"/>
    <hyperlink ref="I346" r:id="rId230" display="..\Nível\Nível Bolha (NI-287).pdf" xr:uid="{3FFF8A48-EE37-4B6E-BB4A-28A53BBB5956}"/>
    <hyperlink ref="I603" r:id="rId231" display="..\Trena\Trena (TR-540).pdf" xr:uid="{ABEFBFEE-2DB0-4641-9B8C-2BEE3421A419}"/>
    <hyperlink ref="I605" r:id="rId232" display="..\Trena\Trena (TR-542).pdf" xr:uid="{94504E5B-D139-41E5-BFBE-CAC1C03CA57F}"/>
    <hyperlink ref="I606" r:id="rId233" display="..\Trena\Trena (TR-543).pdf" xr:uid="{469AD86D-5961-48F2-9F07-31BFD2536150}"/>
    <hyperlink ref="I607" r:id="rId234" display="..\Trena\Trena (TR-544).pdf" xr:uid="{28376326-3345-417B-BCE1-F3C45D3449D3}"/>
    <hyperlink ref="I75" r:id="rId235" xr:uid="{B39EDA58-D924-4BC4-B76B-18AA8403C81E}"/>
    <hyperlink ref="I76" r:id="rId236" xr:uid="{614A9A07-526B-454E-96A8-EBC2883A82E9}"/>
    <hyperlink ref="I84" r:id="rId237" xr:uid="{76B471B9-740A-4C26-A8C9-45D24D2E1856}"/>
    <hyperlink ref="I85" r:id="rId238" xr:uid="{CD08BEF1-7504-4AAC-BBED-AF9BC8242E81}"/>
    <hyperlink ref="I18" r:id="rId239" display="..\Alicate Amperimetro\Alicate Amperímetro (2113).pdf" xr:uid="{A9C9E892-5629-4EAD-8973-7CA9D6068111}"/>
    <hyperlink ref="I280" r:id="rId240" display="..\Medidor de Camada - Espessura\1370_2306279.pdf" xr:uid="{E9396F98-808A-4F2B-B8A6-2ED4E9389D9D}"/>
    <hyperlink ref="I604" r:id="rId241" display="..\Trena\Trena (TR-541).pdf" xr:uid="{1DE8504F-4DEC-4A49-9AEE-1B86B3C1DC7D}"/>
    <hyperlink ref="I214" r:id="rId242" display="..\Manômetro\MPR-526_2306296.pdf" xr:uid="{CD9FCA9B-3090-48EF-8BBF-B73D385C94D7}"/>
    <hyperlink ref="I608" r:id="rId243" display="..\Trena\Trena (TR-545).pdf" xr:uid="{A44D2DDE-4E72-4105-8C14-B5067E78024F}"/>
    <hyperlink ref="I609" r:id="rId244" display="..\Trena\Trena (TR-546).pdf" xr:uid="{39B06516-75B6-43E6-8438-4C9E1E042586}"/>
    <hyperlink ref="I610" r:id="rId245" display="..\Trena\Trena (TR-547).pdf" xr:uid="{DF18E4C8-1494-4FBD-BA7A-CDDA1BB52889}"/>
    <hyperlink ref="I611" r:id="rId246" display="..\Trena\Trena (TR-548).pdf" xr:uid="{AE41E9A2-396A-43E9-8919-A47D46BB2A97}"/>
    <hyperlink ref="I612" r:id="rId247" display="..\Trena\Trena (TR-549).pdf" xr:uid="{81D6B7CE-3274-4E1D-BFD0-3E633D4112B6}"/>
    <hyperlink ref="I613" r:id="rId248" display="..\Trena\Trena (TR-550).pdf" xr:uid="{C4202C98-B976-4BF2-9E47-1E5CEC8E34CF}"/>
    <hyperlink ref="I135" r:id="rId249" display="..\Esquadro\ESQ-304 (2311803).pdf" xr:uid="{5CE32B88-F8EB-483D-93D1-2DC3AB5C676D}"/>
    <hyperlink ref="I136" r:id="rId250" display="..\Esquadro\ESQ-305 (2311804).pdf" xr:uid="{67B887FE-724E-4E17-B754-D2BF81A2122C}"/>
    <hyperlink ref="I137" r:id="rId251" display="..\Esquadro\ESQ-306 (2311805).pdf" xr:uid="{AA5F15D7-FD91-46DA-BB38-275E0010AC07}"/>
    <hyperlink ref="I138" r:id="rId252" display="..\Esquadro\ESQ-307 (2311806).pdf" xr:uid="{D9150C39-841A-493A-A3D1-16D4B6DAD572}"/>
    <hyperlink ref="I347" r:id="rId253" display="..\Nível\Nível Bolha (NI-288).pdf" xr:uid="{6FDB1775-6200-499D-89EA-6F4E9DD36236}"/>
    <hyperlink ref="I348" r:id="rId254" display="..\Nível\Nível Bolha (NI-289).pdf" xr:uid="{E70C2F93-B48A-4339-A4C0-FFCDAA2CC4E4}"/>
    <hyperlink ref="I349" r:id="rId255" display="..\Nível\Nível Bolha (NI-290).pdf" xr:uid="{F1450596-6493-48B6-BEDF-046C672B7240}"/>
    <hyperlink ref="I350" r:id="rId256" display="..\Nível\Nível Bolha (NI-291).pdf" xr:uid="{559B5D9D-2B57-411A-9F12-7C3E9614BEC6}"/>
    <hyperlink ref="I351" r:id="rId257" display="..\Nível\Nível Bolha (NI-292).pdf" xr:uid="{9F8CC1AB-3B46-4C61-A7EB-8DBCE620EC9E}"/>
    <hyperlink ref="I352" r:id="rId258" display="..\Nível\Nível Bolha (NI-293).pdf" xr:uid="{6AB1EB6A-F584-49D4-A467-606139403F58}"/>
    <hyperlink ref="I316" r:id="rId259" display="..\Multimetro\Multimetro (1848).pdf" xr:uid="{B6F7FABE-5EF5-4CE0-A5DB-DAE7A732BF6C}"/>
    <hyperlink ref="I504" r:id="rId260" display="..\Torquimetro\Torquimetro (TAG-1778).pdf" xr:uid="{EA924958-6522-4168-B8AF-4BDDC7FE418E}"/>
    <hyperlink ref="I425" r:id="rId261" display="..\Regua\Régua Graduada (RG-010).pdf" xr:uid="{B6C8E90A-34B9-44A8-BF28-44CB49D7698A}"/>
    <hyperlink ref="I181" r:id="rId262" display="..\Manômetro\Manômetro (TAG-1868).pdf" xr:uid="{6806DD82-F5C8-42FE-8393-98032C79E63C}"/>
    <hyperlink ref="I508" r:id="rId263" display="..\Torquimetro\Torquimetro (TAG-1805).pdf" xr:uid="{86C854F2-B20C-4515-9DC2-1C6FAC983410}"/>
    <hyperlink ref="I197" r:id="rId264" xr:uid="{A384327E-C3CE-4E8B-B796-B5F6343E62D7}"/>
    <hyperlink ref="I196" r:id="rId265" xr:uid="{BC506EF3-87E4-4A86-AEED-71243652D641}"/>
    <hyperlink ref="I15" r:id="rId266" display="..\Alicate Amperimetro\Alicate Amperímetro (0862).pdf" xr:uid="{B7D6E62D-1F19-42CF-85F4-89E22766A677}"/>
    <hyperlink ref="I8" r:id="rId267" display="..\Alicate Amperimetro\Alicate Amperímetro (1421).pdf" xr:uid="{7BDC21E4-61B9-4DA3-A2CE-D88FB1DFAE53}"/>
    <hyperlink ref="I21" r:id="rId268" display="..\Balança\Balança (1922).pdf" xr:uid="{B0FAD92A-B33D-4D14-BF10-0D601BF078CA}"/>
    <hyperlink ref="I44" r:id="rId269" display="..\Calibre de Solda\Calibrador de Solda (CAS-016).pdf" xr:uid="{3D954467-7FAB-409B-8D0B-60541620CE8D}"/>
    <hyperlink ref="I54" r:id="rId270" display="..\Calibre de Solda\Calibrador de Solda Hi Lo (CAS-041).pdf" xr:uid="{DA335D98-808D-4B56-9D89-CCF738A1EF75}"/>
    <hyperlink ref="I51" r:id="rId271" display="..\Calibre de Solda\Calibrador de Solda Hi Lo (CAS-026).pdf" xr:uid="{BA960C22-32F7-42AB-AFA2-5F44475926E1}"/>
    <hyperlink ref="I91" r:id="rId272" display="..\Detector de Fuga de Gás\Detector Portátil de Gás (2100).pdf" xr:uid="{4EF6B9E3-6900-4E51-AEC4-AD4F5B75B015}"/>
    <hyperlink ref="I92" r:id="rId273" display="..\Durometro\Durometro (1822).pdf" xr:uid="{2359AE53-A813-4F7C-B698-750D84574491}"/>
    <hyperlink ref="I115" r:id="rId274" display="..\Esquadro\Esquadro Combinado (1077).pdf" xr:uid="{9B4BD633-DB07-4B91-B075-9395CB2B0A75}"/>
    <hyperlink ref="I160" r:id="rId275" display="..\Holiday Detector\Holiday Detector (1828).pdf" xr:uid="{0A135645-BD21-464D-BAE8-4B974547F1A9}"/>
    <hyperlink ref="I162" r:id="rId276" display="..\Holiday Detector\Holiday Detector (1986).pdf" xr:uid="{9DC9C131-906A-4386-AC14-98C9A4670ED4}"/>
    <hyperlink ref="I317" r:id="rId277" display="..\Multimetro\Multimetro (1434).pdf" xr:uid="{93003247-AA28-4EA2-BB30-3D130066A386}"/>
    <hyperlink ref="I694" r:id="rId278" display="..\Yoke\Yoke (180).pdf" xr:uid="{5ADF0958-5872-49DC-946B-5A3106AE7ED7}"/>
    <hyperlink ref="I706" r:id="rId279" display="..\Yoke\Yoke (1830).pdf" xr:uid="{CE930276-3187-4C8C-91DC-DE0D89DF99A2}"/>
    <hyperlink ref="I704" r:id="rId280" display="..\Yoke\Yoke (1296).pdf" xr:uid="{7FABCCED-9CB6-40C0-B094-123573922DDF}"/>
    <hyperlink ref="I403" r:id="rId281" display="..\Paquimetro\Paquimetro de Prof. Digital (PNT-002).pdf" xr:uid="{FA102507-75CB-47A3-A557-680C2E7E4990}"/>
    <hyperlink ref="I445" r:id="rId282" display="..\Termohigrometro\Termohigrometro (036).pdf" xr:uid="{DF8F06E2-32AB-49CC-B0F1-FD2BE649A318}"/>
    <hyperlink ref="I443" r:id="rId283" display="..\Termohigrometro\Termohigrometro (034).pdf" xr:uid="{F88099A4-E490-40F4-8D17-79F96D42FEA0}"/>
    <hyperlink ref="I285" r:id="rId284" display="..\Medidor de Camada - Espessura\Medidor de Camada Ferrosa Digital (1811).pdf" xr:uid="{00C733F7-1C30-4F2C-874A-BF26916CFA7C}"/>
    <hyperlink ref="I278" r:id="rId285" display="..\Medidor de Camada - Espessura\Medidor de Camada Úmida (135).pdf" xr:uid="{76471249-F387-4EFF-B23D-A21D1B2689B2}"/>
    <hyperlink ref="I433" r:id="rId286" display="..\Rugosimetro\Rugosímetro (1965).pdf" xr:uid="{7D741569-14B1-4407-B3BE-A703C16B7D08}"/>
    <hyperlink ref="I435" r:id="rId287" display="..\Rugosimetro\Rugosímetro (2049).pdf" xr:uid="{F472AAE2-42E9-4708-9D13-CDBECFC43F57}"/>
    <hyperlink ref="I436" r:id="rId288" display="..\Rugosimetro\Rugosímetro (068).pdf" xr:uid="{5EFF53C0-C485-40B6-AB8D-843F8CAC640C}"/>
    <hyperlink ref="I434" r:id="rId289" display="..\Rugosimetro\Rugosímetro (2019).pdf" xr:uid="{5FAD2DC3-0E70-457C-A1E6-B67806C31C73}"/>
    <hyperlink ref="I292" r:id="rId290" display="..\Medidor de Camada - Espessura\Medidor de Espessura Ultrassônico (1933).pdf" xr:uid="{C8FFFF50-D71A-48E3-A512-67E301931070}"/>
    <hyperlink ref="I484" r:id="rId291" display="..\Termometro\Termômetro Infravermelho (TAG-194).pdf" xr:uid="{A2718AD0-2DB3-4AD1-A64E-40AEAA5E8A9C}"/>
    <hyperlink ref="I486" r:id="rId292" display="..\Termometro\Termômetro Infravermelho (TAG-592).pdf" xr:uid="{5F7BE099-8961-47A1-B2F2-5068AB739760}"/>
    <hyperlink ref="I663" r:id="rId293" display="..\Trena\Trena a Laser (1765).pdf" xr:uid="{C4A7A7D5-1EB6-443E-BBF0-9966E1726812}"/>
    <hyperlink ref="I389" r:id="rId294" display="..\Nível\Inclinômetro Digita (1863).pdf" xr:uid="{1C25C699-9C9E-40F5-8FC7-88F0BE744711}"/>
    <hyperlink ref="I370" r:id="rId295" display="..\Nível\Nível de Bolha (NI-066).pdf" xr:uid="{1F25B5E6-0508-4D13-B269-2879473F3A30}"/>
    <hyperlink ref="I375" r:id="rId296" display="..\Nível\Nível de Bolha (NI-071).pdf" xr:uid="{B022A374-7EA7-4F0E-BF00-0A288EC56E32}"/>
    <hyperlink ref="I133" r:id="rId297" display="..\Esquadro\Esquadro de Precisão (ESQ-302).pdf" xr:uid="{5AE6E37B-5F70-439B-83F9-AF80EAF0D431}"/>
    <hyperlink ref="I119" r:id="rId298" display="..\Esquadro\Esquadro de Fio (ESP-001).pdf" xr:uid="{A222E8E2-6E4C-48CF-B27A-CBE07FE7202F}"/>
    <hyperlink ref="I139" r:id="rId299" display="..\Esquadro\Esquadro (ESQ-308).pdf" xr:uid="{ACE1F0A8-307B-4266-BC98-522A159C33A1}"/>
    <hyperlink ref="I117" r:id="rId300" display="..\Esquadro\Esquadro Combinado (1841).pdf" xr:uid="{D0413982-0688-40AC-8ECA-52C0466C3139}"/>
    <hyperlink ref="I118" r:id="rId301" display="..\Esquadro\Esquadro Combinado (1842).pdf" xr:uid="{A93040CD-CC13-4578-8E20-36B89B095912}"/>
    <hyperlink ref="I116" r:id="rId302" display="..\Esquadro\Esquadro Combinado (1840).pdf" xr:uid="{2F529767-AC18-4436-A9B5-78DB4FB2B47A}"/>
    <hyperlink ref="I145" r:id="rId303" display="..\Goniometro\Goniômetro (0629).pdf" xr:uid="{68C40C88-007B-453C-A0A5-15F4FF3A98EC}"/>
    <hyperlink ref="I680" r:id="rId304" display="..\Valvula de Segurança\Válvula de Segurança (VL-06).pdf" xr:uid="{02AA2152-EBF0-416C-AAC6-DF7FC303ED95}"/>
    <hyperlink ref="I676" r:id="rId305" display="..\Valvula de Segurança\Válvula de Segurança (VL-02).pdf" xr:uid="{BA0793A7-49C6-4B6A-A9AB-841E50884C9A}"/>
    <hyperlink ref="I677" r:id="rId306" display="..\Valvula de Segurança\Válvula de Segurança (VL-03).pdf" xr:uid="{BC32405D-2669-4B11-9762-C5E1901EB501}"/>
    <hyperlink ref="I678" r:id="rId307" display="..\Valvula de Segurança\Válvula de Segurança (VL-04).pdf" xr:uid="{906EA125-14CE-4EE9-9128-1EFC0243BE09}"/>
    <hyperlink ref="I679" r:id="rId308" display="..\Valvula de Segurança\Válvula de Segurança (VL-05).pdf" xr:uid="{CA9D5EFA-B2C2-4B45-AAD9-6E27CD78B128}"/>
    <hyperlink ref="I517" r:id="rId309" display="..\Transferidor (Goniometro)\Transferidor de Grau (TAG-TG-001).pdf" xr:uid="{50FB7C74-3973-41B6-8BD5-2F98E8BDAD02}"/>
    <hyperlink ref="I407" r:id="rId310" display="..\Paquimetro\Paquímetro Digital (13-40007).pdf" xr:uid="{3B52E28A-3EED-4019-9120-314EEFD37725}"/>
    <hyperlink ref="I430" r:id="rId311" display="..\Relogio Comparador\Relógio Comparador Digital (187).pdf" xr:uid="{0FC5A923-F431-4316-BC95-8D45FFEB27DB}"/>
    <hyperlink ref="I681" r:id="rId312" display="..\Valvula de Segurança\Válvula de Segurança (VL-07).pdf" xr:uid="{72656CF9-6ABB-4FD7-ABE1-901C9C7A35C9}"/>
    <hyperlink ref="I682" r:id="rId313" display="..\Valvula de Segurança\Válvula de Segurança (VL-08).pdf" xr:uid="{765AB7C2-7D04-4371-B242-142D4D08EA63}"/>
    <hyperlink ref="I34" r:id="rId314" display="..\Bloco\Bloco escalonado (1934).pdf" xr:uid="{A4CE2900-60F7-45F0-8D66-9F6FF0AB26FD}"/>
    <hyperlink ref="I270" r:id="rId315" display="..\Manômetro-Máquina de Jato\Manômetro Analógico (PS-034).pdf" xr:uid="{593F397D-086A-42EC-9599-066C417D6326}"/>
    <hyperlink ref="I290" r:id="rId316" display="..\Medidor de Camada - Espessura\Medidor de Espessura Ultrassônico (2055).pdf" xr:uid="{16C31CDA-2858-4515-8DE8-B1EBFFE56796}"/>
    <hyperlink ref="I53" r:id="rId317" display="..\Calibre de Solda\Calibre de Solda (CAS-033).pdf" xr:uid="{1EA1C47E-E563-4C1B-9500-27453D51256E}"/>
    <hyperlink ref="I56" r:id="rId318" display="..\Calibre de Solda\Calibre de Solda (CAS-046).pdf" xr:uid="{99E3A78C-AE5C-4F89-A229-18ED12A33322}"/>
    <hyperlink ref="I57" r:id="rId319" display="..\Calibre de Solda\Calibre de Solda (CAS-047).pdf" xr:uid="{111383E9-69B7-4DB8-BAB6-207280398D76}"/>
    <hyperlink ref="I58" r:id="rId320" display="..\Calibre de Solda\Calibre de Solda (CAS-048).pdf" xr:uid="{229543B2-FEEE-4DD4-AB0C-32CB9B4DECF6}"/>
    <hyperlink ref="I96" r:id="rId321" display="..\Esquadro\ESQ-309 (2421241).pdf" xr:uid="{12198814-39A9-4BAA-968C-07C02459BD7B}"/>
    <hyperlink ref="I97" r:id="rId322" display="..\Esquadro\ESQ-310 (2421242).pdf" xr:uid="{A48FBE46-7750-439B-83D6-008B812A0772}"/>
    <hyperlink ref="I99" r:id="rId323" display="..\Esquadro\ESQ-311 (2421243).pdf" xr:uid="{017A0CFA-DA2B-4E1F-8626-EB16AD8BC501}"/>
    <hyperlink ref="I101" r:id="rId324" display="..\Esquadro\ESQ-312 (2421244).pdf" xr:uid="{ED00BDB1-41E5-4AC4-8E05-8878205E137F}"/>
    <hyperlink ref="I102" r:id="rId325" display="..\Esquadro\ESQ-313 (2421245).pdf" xr:uid="{21573AFE-84F0-4E26-8BCC-9132A3334A79}"/>
    <hyperlink ref="I103" r:id="rId326" display="..\Esquadro\ESQ-314 (2421246).pdf" xr:uid="{BE04E59B-6F2C-4A3F-8B8D-988083A548E8}"/>
    <hyperlink ref="I104" r:id="rId327" display="..\Esquadro\ESQ-315 (2421247).pdf" xr:uid="{E65E370C-DC3F-4972-B681-273B193E75CD}"/>
    <hyperlink ref="I105" r:id="rId328" display="..\Esquadro\ESQ-316 (2421248).pdf" xr:uid="{03345E03-B53A-4369-966A-EC253A29BF2D}"/>
    <hyperlink ref="I106" r:id="rId329" display="..\Esquadro\ESQ-317 (2421249).pdf" xr:uid="{0B86A205-DDB6-414D-894E-989253E41FEF}"/>
    <hyperlink ref="I107" r:id="rId330" display="..\Esquadro\ESQ-318 (2421250).pdf" xr:uid="{3EDC1725-8E8C-4161-A721-128EE529BAEA}"/>
    <hyperlink ref="I353" r:id="rId331" display="..\Nível\Nível Bolha (NI-295).pdf" xr:uid="{1732788B-EB46-4109-918C-5CAE3BCE6CFC}"/>
    <hyperlink ref="I354" r:id="rId332" display="..\Nível\Nível Bolha (NI-296).pdf" xr:uid="{197FA707-51B0-463A-BF7A-FC789EDD0F39}"/>
    <hyperlink ref="I355" r:id="rId333" display="..\Nível\Nível Bolha (NI-297).pdf" xr:uid="{B4DEE619-4E95-4DD1-B306-3E9DBCE7D9CA}"/>
    <hyperlink ref="I356" r:id="rId334" display="..\Nível\Nível Bolha (NI-298).pdf" xr:uid="{9225D53D-79B6-47F6-9010-426FC6ED9BE4}"/>
    <hyperlink ref="I357" r:id="rId335" display="..\Nível\Nível Bolha (NI-299).pdf" xr:uid="{F4AAACC6-A4A4-4E41-9058-106A192AC523}"/>
    <hyperlink ref="I358" r:id="rId336" display="..\Nível\Nível Bolha (NI-300).pdf" xr:uid="{334E94D3-FD32-452F-8CEC-DA80FC9555F0}"/>
    <hyperlink ref="I359" r:id="rId337" display="..\Nível\Nível Bolha (NI-301).pdf" xr:uid="{C59AC9AF-CE06-4204-88EF-C4A947DF4F57}"/>
    <hyperlink ref="I360" r:id="rId338" display="..\Nível\Nível Bolha (NI-302).pdf" xr:uid="{DBFA2395-7E8A-44B8-B5BC-1FDADB329460}"/>
    <hyperlink ref="I361" r:id="rId339" display="..\Nível\Nível Bolha (NI-303).pdf" xr:uid="{70F58C4D-8CBD-4A89-A4CD-44EBBA7CB0E7}"/>
    <hyperlink ref="I362" r:id="rId340" display="..\Nível\Nível Bolha (NI-304).pdf" xr:uid="{EA45A051-3B72-4B6A-8952-487E0490A2BE}"/>
    <hyperlink ref="I363" r:id="rId341" display="..\Nível\Nível Bolha (NI-305).pdf" xr:uid="{C2C6FE02-EF8B-445D-96A7-0A7B74ABBC6C}"/>
    <hyperlink ref="I364" r:id="rId342" display="..\Nível\Nível Bolha (NI-306).pdf" xr:uid="{15BCA19D-C88E-4B80-9722-C43DCBB5449C}"/>
    <hyperlink ref="I365" r:id="rId343" display="..\Nível\Nível Bolha (NI-307).pdf" xr:uid="{EEE5DAC3-F621-4F31-8E27-7FC61418DE4D}"/>
    <hyperlink ref="I366" r:id="rId344" display="..\Nível\Nível Bolha (NI-308).pdf" xr:uid="{1E4BC20B-7396-4184-A32F-FC0773806565}"/>
    <hyperlink ref="I98" r:id="rId345" display="..\Esquadro\ESQ-310-1 (2423157).pdf" xr:uid="{A6F50CAC-17FF-4496-9C85-66EC3041F378}"/>
    <hyperlink ref="I100" r:id="rId346" display="..\Esquadro\ESQ-311-1 (2423158).pdf" xr:uid="{28DD7ED1-9F54-4AF6-82CA-61BB577B25FB}"/>
    <hyperlink ref="I614" r:id="rId347" display="..\Trena\Trena (TR-551).pdf" xr:uid="{630B2F38-2F73-4E84-86E2-B7D10E9CA493}"/>
    <hyperlink ref="I615" r:id="rId348" display="..\Trena\Trena (TR-552).pdf" xr:uid="{90D4FB05-27E0-4302-BC61-984114FA1DCC}"/>
    <hyperlink ref="I616" r:id="rId349" display="..\Trena\Trena (TR-553).pdf" xr:uid="{729D4A17-8A2E-462D-AC7F-9828EA1981B3}"/>
    <hyperlink ref="I617" r:id="rId350" display="..\Trena\Trena (TR-553-1).pdf" xr:uid="{18238E20-7363-491C-AD95-EC976A050886}"/>
    <hyperlink ref="I618" r:id="rId351" display="..\Trena\Trena (TR-554).pdf" xr:uid="{CE8BB62F-505F-4BA7-BA53-A1B516AA4866}"/>
    <hyperlink ref="I619" r:id="rId352" display="..\Trena\Trena (TR-554-1).pdf" xr:uid="{8801DEAC-B7CE-4208-81A1-772C1F0219C9}"/>
    <hyperlink ref="I620" r:id="rId353" display="..\Trena\Trena (TR-555).pdf" xr:uid="{C65FF3B9-4482-4A07-811C-63800E2A8FB3}"/>
    <hyperlink ref="I621" r:id="rId354" display="..\Trena\Trena (TR-555-1).pdf" xr:uid="{025F4C35-7B7D-4578-B74A-49E52CC38DFE}"/>
    <hyperlink ref="I622" r:id="rId355" display="..\Trena\Trena (TR-556).pdf" xr:uid="{2205667F-36D2-420B-AF07-55D500EEE0A2}"/>
    <hyperlink ref="I623" r:id="rId356" display="..\Trena\Trena (TR-557).pdf" xr:uid="{24376B75-A9AF-4EAD-B0B6-DA14DEC16D7E}"/>
    <hyperlink ref="I624" r:id="rId357" display="..\Trena\Trena (TR-558).pdf" xr:uid="{098B95AB-8595-4DA2-B6D4-96833156260D}"/>
    <hyperlink ref="I625" r:id="rId358" display="..\Trena\Trena (TR-559).pdf" xr:uid="{D017AD90-2118-4E42-B952-4AC6BE681295}"/>
    <hyperlink ref="I626" r:id="rId359" display="..\Trena\Trena (TR-560).pdf" xr:uid="{6024DAE0-A436-4DBD-8E4E-3F60A3FC1504}"/>
    <hyperlink ref="I627" r:id="rId360" display="..\Trena\Trena (TR-561).pdf" xr:uid="{24336979-0EE9-42DA-AE71-E71C755E7514}"/>
    <hyperlink ref="I628" r:id="rId361" display="..\Trena\Trena (TR-562).pdf" xr:uid="{7A151E92-FD62-4824-A4D7-4EC7EE27611B}"/>
    <hyperlink ref="I629" r:id="rId362" display="..\Trena\Trena (TR-563).pdf" xr:uid="{A97D2A7A-8BA3-4B4A-BB58-8D4830D3625E}"/>
    <hyperlink ref="I630" r:id="rId363" display="..\Trena\Trena (TR-564).pdf" xr:uid="{11E7CF37-BDF4-4046-A9F5-C3A768E0F5DE}"/>
    <hyperlink ref="I631" r:id="rId364" display="..\Trena\Trena (TR-565).pdf" xr:uid="{47F45009-C7B2-43FC-91BB-A038F1B22710}"/>
    <hyperlink ref="I632" r:id="rId365" display="..\Trena\Trena (TR-566).pdf" xr:uid="{923FF445-8F8E-4F4D-846D-3353B02A9065}"/>
    <hyperlink ref="I633" r:id="rId366" display="..\Trena\Trena (TR-567).pdf" xr:uid="{BC8B1619-8E0F-49E6-A631-A680E901F2EC}"/>
    <hyperlink ref="I634" r:id="rId367" display="..\Trena\Trena (TR-568).pdf" xr:uid="{5725C283-42FF-46DE-A3CA-2E5A27FB4362}"/>
    <hyperlink ref="I635" r:id="rId368" display="..\Trena\Trena (TR-569).pdf" xr:uid="{D91DA780-444A-4F3A-B3C8-B716C78CF3CD}"/>
    <hyperlink ref="I636" r:id="rId369" display="..\Trena\Trena (TR-570).pdf" xr:uid="{2BA97F6A-B549-4E4F-9E67-7CF78907E40F}"/>
    <hyperlink ref="I637" r:id="rId370" display="..\Trena\Trena (TR-571).pdf" xr:uid="{44A4E6FB-0A1C-42E0-B981-AF652A234803}"/>
    <hyperlink ref="I638" r:id="rId371" display="..\Trena\Trena (TR-572).pdf" xr:uid="{BFC7FB5D-B250-4D75-B69E-013E9587498E}"/>
    <hyperlink ref="I639" r:id="rId372" display="..\Trena\Trena (TR-573).pdf" xr:uid="{54809B5A-4854-4A59-A82A-4100E9D9966B}"/>
    <hyperlink ref="I640" r:id="rId373" display="..\Trena\Trena (TR-574).pdf" xr:uid="{16421512-287E-460E-9B15-CEB99CDF73BB}"/>
    <hyperlink ref="I392" r:id="rId374" display="..\Esquadro\ESQN-002_2423156.pdf" xr:uid="{99CB9E80-0A17-4753-BD29-717CCB2EAA97}"/>
    <hyperlink ref="I393" r:id="rId375" xr:uid="{8B9A50EB-2D64-4619-AD5B-193C670300AC}"/>
    <hyperlink ref="I267" r:id="rId376" display="..\Manômetro-Máquina de Jato\Manometros 197820.pdf" xr:uid="{F81A8541-E498-4CFE-91B3-CB4B572B0A63}"/>
    <hyperlink ref="I268" r:id="rId377" display="..\Manômetro-Máquina de Jato\Manometros 197822.pdf" xr:uid="{CD28A1C9-DEAB-40B4-A864-794841D52F70}"/>
    <hyperlink ref="I499" r:id="rId378" display="..\Terrometro\Terrômetro(1339) -2425228.pdf" xr:uid="{F122B9C5-F0DA-4901-B2EF-40B0E7A2AF84}"/>
    <hyperlink ref="I220" r:id="rId379" xr:uid="{7E5B5F31-0741-4FBD-A471-B3906368E4E9}"/>
    <hyperlink ref="I439" r:id="rId380" xr:uid="{E402199D-7EAA-4545-83C8-E32665C42BD1}"/>
    <hyperlink ref="I518" r:id="rId381" xr:uid="{76B1120E-4BCB-4229-AE48-75B1A7B5B62C}"/>
    <hyperlink ref="I693" r:id="rId382" display="0510/24" xr:uid="{BDFCB88A-D2B0-4D16-B2C5-F1C4A3A20C5A}"/>
    <hyperlink ref="I258" r:id="rId383" display="LMP443071-24" xr:uid="{00C9F870-1AFE-4234-84E8-8ED26771BFAC}"/>
    <hyperlink ref="I259" r:id="rId384" display="LMP443072-24" xr:uid="{8145B2FF-E277-4082-96BD-57370748A954}"/>
    <hyperlink ref="I215" r:id="rId385" xr:uid="{94C89ED7-6FDE-46E9-8041-0214001126C0}"/>
    <hyperlink ref="I509" r:id="rId386" display="..\Torquimetro\Torquimetro (2183).pdf" xr:uid="{99B1FB15-A93D-44B5-8BFB-8A0E8E847F22}"/>
    <hyperlink ref="I510" r:id="rId387" display="..\Torquimetro\Torquimetro (2184).pdf" xr:uid="{30AE0DDB-6565-47FF-9C9D-EF0FEF633BEB}"/>
    <hyperlink ref="I17" r:id="rId388" display="..\Alicate Amperimetro\Alicate Amperimetro (2042).pdf" xr:uid="{B9965DFF-BA8B-407E-BAAE-40376D4D762D}"/>
    <hyperlink ref="I490" r:id="rId389" display="..\Termometro\Termometro Infravermelho (2105).pdf" xr:uid="{6F8454E4-E709-4629-846D-A3314AAE1B1A}"/>
    <hyperlink ref="I163" r:id="rId390" display="..\Holiday Detector\Holiday Detector (1987).pdf" xr:uid="{7B4A1C47-0F96-4EA1-B3C2-A4B421CF65A6}"/>
    <hyperlink ref="I142" r:id="rId391" display="..\Fluxometro (Bibimetro)\FLUXOMETRO (FLX-002).pdf" xr:uid="{E4E3BBD0-A853-4D39-BBFA-CF64AFB3FD73}"/>
    <hyperlink ref="I143" r:id="rId392" display="..\Fluxometro (Bibimetro)\FLUXOMETRO (FLX_003).pdf" xr:uid="{8F2AA560-92A7-40BE-BD1A-77780D207D1A}"/>
    <hyperlink ref="I144" r:id="rId393" display="..\Fluxometro (Bibimetro)\FLUXOMETRO (FLX-004).pdf" xr:uid="{30A3784E-0897-4D7B-9199-3C24DF370340}"/>
    <hyperlink ref="I641" r:id="rId394" display="..\Trena\Trena (TR-575).pdf" xr:uid="{8F84BD52-431A-420A-AF7D-6518592F3571}"/>
    <hyperlink ref="I642" r:id="rId395" display="..\Trena\Trena (TR-576).pdf" xr:uid="{0CD2B777-5BB8-43FE-95ED-532A6628501F}"/>
    <hyperlink ref="I643" r:id="rId396" display="..\Trena\Trena (TR-577).pdf" xr:uid="{910CCDEE-C501-4147-B934-CA5A7812DA35}"/>
    <hyperlink ref="I644" r:id="rId397" display="..\Trena\Trena (TR-578).pdf" xr:uid="{A915F4BF-D8BA-41EF-8EB3-1954465C2213}"/>
    <hyperlink ref="I645" r:id="rId398" display="..\Trena\Trena (TR-579).pdf" xr:uid="{43BAE3F9-DF94-4DD0-8C77-A3E3A44D6386}"/>
    <hyperlink ref="I646" r:id="rId399" display="..\Trena\Trena (TR-580).pdf" xr:uid="{E919BD7E-E101-4A0E-9AC1-9D5B4ED6C5D8}"/>
    <hyperlink ref="I647" r:id="rId400" display="..\Trena\Trena (TR-581).pdf" xr:uid="{F03AD1A4-3A67-4F13-B78B-A139D79B7C03}"/>
    <hyperlink ref="I648" r:id="rId401" display="..\Trena\Trena (TR-582).pdf" xr:uid="{8F524CBB-3657-46B2-865D-01652CA961A4}"/>
    <hyperlink ref="I649" r:id="rId402" display="..\Trena\Trena (TR-583).pdf" xr:uid="{5A23A667-0D76-43EF-A404-9818E8F9DD83}"/>
    <hyperlink ref="I650" r:id="rId403" display="..\Trena\Trena (TR-584).pdf" xr:uid="{2B5225B8-BE4C-4C60-841E-3F67BDD307FC}"/>
    <hyperlink ref="I519" r:id="rId404" xr:uid="{8DB2684A-196E-49AC-925D-771EDF52956D}"/>
    <hyperlink ref="I273" r:id="rId405" xr:uid="{7BBF920E-5A01-4F34-8460-C63FF40B6B8B}"/>
    <hyperlink ref="I274" r:id="rId406" xr:uid="{BFF01F5F-9712-45DB-9073-DF367D42E537}"/>
    <hyperlink ref="I224" r:id="rId407" display="..\Manômetro\1868_2501249.pdf" xr:uid="{E2CD7A5D-C1E9-4D2E-844A-548846BAD6EF}"/>
    <hyperlink ref="I225" r:id="rId408" display="..\Manômetro\443073_2501250.pdf" xr:uid="{A2C72A84-534B-4F6B-86AD-77A9C0BF1CAE}"/>
    <hyperlink ref="I226" r:id="rId409" display="..\Manômetro\MPR-109_2501248.pdf" xr:uid="{CBD4AE01-ADCC-401D-9F5E-28304B501C55}"/>
    <hyperlink ref="I520" r:id="rId410" display="..\Transmissor de Pressão\Transmissor de Pressão - TI -001.pdf" xr:uid="{88D0A928-99CE-4159-8E25-965F2DF70A81}"/>
    <hyperlink ref="I521" r:id="rId411" display="..\Transmissor de Pressão\Transmissor de Pressão - TI -002.pdf" xr:uid="{10ACC007-4EE6-42E1-BDDE-1ACA08EE75AF}"/>
    <hyperlink ref="I511" r:id="rId412" display="..\Transdutor de Pressão\Transdutor de Pressão - PT-001.pdf" xr:uid="{1A58B3B0-BEAC-495D-9769-C0AEBA7DA32F}"/>
    <hyperlink ref="I683" r:id="rId413" display="22 040" xr:uid="{9FCD0ED1-B42D-4CF1-830A-7B117ED5B1D5}"/>
    <hyperlink ref="I16" r:id="rId414" display="..\Alicate Amperimetro\Alicate Amperímetro (1914).pdf" xr:uid="{D6281712-2F9B-4347-986F-116ED4877161}"/>
    <hyperlink ref="I235" r:id="rId415" display="..\Manômetro\LAF-2517519-Manômetro Analógico (MAN-12A).pdf" xr:uid="{289E41D8-BC21-4FC2-96AE-499EE483B7E7}"/>
    <hyperlink ref="I236" r:id="rId416" display="..\Manômetro\LAF-2517520-Manômetro Analógico (MAN-12B).pdf" xr:uid="{5B97C639-1B55-4EAB-8C5B-6E13FF5E0DD3}"/>
    <hyperlink ref="I237" r:id="rId417" display="..\Manômetro\LAF-2517521-Manômetro Analógico (MAN-13B).pdf" xr:uid="{206D0B2F-4B73-4379-A6BD-1DE7837BC579}"/>
    <hyperlink ref="I238" r:id="rId418" display="..\Manômetro\LAF-2517522-Manômetro Analógico (MAN-13B).pdf" xr:uid="{5D510FBF-FEA6-4A1C-842D-5EC291570DE3}"/>
    <hyperlink ref="I239" r:id="rId419" display="..\Manômetro\LAF-2517523-Manômetro Analógico (MAN-14A).pdf" xr:uid="{E6110AD3-5EBB-44E8-BCE1-A4A87880ED81}"/>
    <hyperlink ref="I240" r:id="rId420" display="..\Manômetro\LAF-2517524-Manômetro Analógico (MAN-14B).pdf" xr:uid="{1584B8A9-9E6E-4C39-B280-B1067FD8973D}"/>
    <hyperlink ref="I241" r:id="rId421" display="..\Manômetro\LAF-2517525-Manômetro Analógico (MAN-15A).pdf" xr:uid="{5AECA958-43CC-4D2C-8A76-56905788DC9D}"/>
    <hyperlink ref="I242" r:id="rId422" display="..\Manômetro\LAF-2517526-Manometro Analogico ( MAN-15B).pdf" xr:uid="{BDFA943B-28DF-4E98-A005-E7BAA8040264}"/>
    <hyperlink ref="I243" r:id="rId423" display="..\Manômetro\LAF-2517527-Manômetro Analógico (MAN-16A).pdf" xr:uid="{8C738710-6F12-4174-A3CF-F3CD4ADBEF8B}"/>
    <hyperlink ref="I244" r:id="rId424" display="..\Manômetro\LAF-2517528-Manômetro Analógico (MAN-16B).pdf" xr:uid="{6BAA7825-E68B-4038-9372-A0FE46561882}"/>
    <hyperlink ref="I245" r:id="rId425" display="..\Manômetro\LAF-2517529-Manômetro Analógico (MAN-17A).pdf" xr:uid="{94D70366-7971-407F-9B28-67B02445B2F3}"/>
    <hyperlink ref="I246" r:id="rId426" display="..\Manômetro\LAF-2517530-Manômetro Analógico (MAN-17B).pdf" xr:uid="{2C445AED-D935-49D7-8AF9-7C23939AB6DB}"/>
    <hyperlink ref="I247" r:id="rId427" display="..\Manômetro\LAF-2517531-Manômetro Analógico (MAN-18A).pdf" xr:uid="{19515176-DCD2-4804-AEFC-CCE9B366D480}"/>
    <hyperlink ref="I248" r:id="rId428" display="..\Manômetro\LAF-2517532-Manômetro Analógico (MAN-18B).pdf" xr:uid="{9C172BA8-13DC-41CA-B34A-C2292C8A9E36}"/>
    <hyperlink ref="I249" r:id="rId429" display="..\Manômetro\LAF-2517533-Manômetro Analógico (MAN-19A).pdf" xr:uid="{B85A6495-4C37-4096-ADA2-6A9C0874254B}"/>
    <hyperlink ref="I250" r:id="rId430" display="..\Manômetro\LAF-2517534-Manômetro Analógico (MAN-19B).pdf" xr:uid="{111C85C6-C3EE-4BBC-A4E4-5C3FF1EE683C}"/>
    <hyperlink ref="I463" r:id="rId431" display="..\Termometro\Termometro BiMetalico (TER-003).pdf" xr:uid="{508E9D56-4F29-457B-BBFD-DEB1EF3177E7}"/>
  </hyperlinks>
  <pageMargins left="0.70866141732283472" right="0.70866141732283472" top="0.74803149606299213" bottom="0.51181102362204722" header="0.31496062992125984" footer="0.31496062992125984"/>
  <pageSetup scale="41" fitToHeight="0" orientation="landscape" r:id="rId432"/>
  <headerFooter>
    <oddFooter>&amp;LF-INS-006-01 - 08/05/2017 Rev. A&amp;CFOLHA &amp;P DE &amp;N</oddFooter>
  </headerFooter>
  <rowBreaks count="2" manualBreakCount="2">
    <brk id="76" max="16383" man="1"/>
    <brk id="148" max="11" man="1"/>
  </rowBreaks>
  <colBreaks count="1" manualBreakCount="1">
    <brk id="1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14B49-B737-41D5-9277-F41ACD185984}">
  <sheetPr>
    <pageSetUpPr fitToPage="1"/>
  </sheetPr>
  <dimension ref="A1:D113"/>
  <sheetViews>
    <sheetView topLeftCell="A82" workbookViewId="0">
      <selection activeCell="A18" sqref="A18:XFD18"/>
    </sheetView>
  </sheetViews>
  <sheetFormatPr defaultRowHeight="15" x14ac:dyDescent="0.25"/>
  <cols>
    <col min="1" max="1" width="45.42578125" customWidth="1"/>
    <col min="2" max="2" width="25.85546875" customWidth="1"/>
    <col min="3" max="3" width="19" style="20" customWidth="1"/>
  </cols>
  <sheetData>
    <row r="1" spans="1:4" x14ac:dyDescent="0.25">
      <c r="A1" s="105" t="s">
        <v>633</v>
      </c>
      <c r="B1" s="105"/>
      <c r="C1" s="105"/>
      <c r="D1" s="105"/>
    </row>
    <row r="2" spans="1:4" x14ac:dyDescent="0.25">
      <c r="A2" s="106"/>
      <c r="B2" s="106"/>
      <c r="C2" s="106"/>
      <c r="D2" s="106"/>
    </row>
    <row r="3" spans="1:4" x14ac:dyDescent="0.25">
      <c r="A3" s="19" t="s">
        <v>635</v>
      </c>
      <c r="B3" s="19" t="s">
        <v>636</v>
      </c>
      <c r="C3" s="19" t="s">
        <v>705</v>
      </c>
    </row>
    <row r="4" spans="1:4" x14ac:dyDescent="0.25">
      <c r="A4" t="s">
        <v>634</v>
      </c>
      <c r="B4" s="20">
        <v>18</v>
      </c>
      <c r="C4" s="20">
        <v>540</v>
      </c>
    </row>
    <row r="5" spans="1:4" x14ac:dyDescent="0.25">
      <c r="A5" t="s">
        <v>637</v>
      </c>
      <c r="B5" s="20">
        <v>24</v>
      </c>
      <c r="C5" s="20">
        <v>720</v>
      </c>
    </row>
    <row r="6" spans="1:4" x14ac:dyDescent="0.25">
      <c r="A6" t="s">
        <v>638</v>
      </c>
      <c r="B6" s="20">
        <v>24</v>
      </c>
      <c r="C6" s="20">
        <v>720</v>
      </c>
    </row>
    <row r="7" spans="1:4" x14ac:dyDescent="0.25">
      <c r="A7" t="s">
        <v>640</v>
      </c>
      <c r="B7" s="20">
        <v>24</v>
      </c>
      <c r="C7" s="20">
        <v>720</v>
      </c>
    </row>
    <row r="8" spans="1:4" x14ac:dyDescent="0.25">
      <c r="A8" t="s">
        <v>158</v>
      </c>
      <c r="B8" s="20">
        <v>12</v>
      </c>
      <c r="C8" s="20">
        <v>365</v>
      </c>
    </row>
    <row r="9" spans="1:4" x14ac:dyDescent="0.25">
      <c r="A9" t="s">
        <v>639</v>
      </c>
      <c r="B9" s="20">
        <v>60</v>
      </c>
      <c r="C9" s="20">
        <v>1800</v>
      </c>
    </row>
    <row r="10" spans="1:4" x14ac:dyDescent="0.25">
      <c r="A10" t="s">
        <v>641</v>
      </c>
      <c r="B10" s="20">
        <v>60</v>
      </c>
      <c r="C10" s="20">
        <v>1800</v>
      </c>
    </row>
    <row r="11" spans="1:4" x14ac:dyDescent="0.25">
      <c r="A11" t="s">
        <v>936</v>
      </c>
      <c r="B11" s="20">
        <v>24</v>
      </c>
      <c r="C11" s="20">
        <v>720</v>
      </c>
    </row>
    <row r="12" spans="1:4" x14ac:dyDescent="0.25">
      <c r="A12" t="s">
        <v>529</v>
      </c>
      <c r="B12" s="20">
        <v>24</v>
      </c>
      <c r="C12" s="20">
        <v>720</v>
      </c>
    </row>
    <row r="13" spans="1:4" x14ac:dyDescent="0.25">
      <c r="A13" t="s">
        <v>642</v>
      </c>
      <c r="B13" s="20">
        <v>60</v>
      </c>
      <c r="C13" s="20">
        <v>1800</v>
      </c>
    </row>
    <row r="14" spans="1:4" x14ac:dyDescent="0.25">
      <c r="A14" t="s">
        <v>643</v>
      </c>
      <c r="B14" s="20">
        <v>60</v>
      </c>
      <c r="C14" s="20">
        <v>1800</v>
      </c>
    </row>
    <row r="15" spans="1:4" x14ac:dyDescent="0.25">
      <c r="A15" t="s">
        <v>644</v>
      </c>
      <c r="B15" s="20" t="s">
        <v>558</v>
      </c>
      <c r="C15" s="20" t="s">
        <v>558</v>
      </c>
    </row>
    <row r="16" spans="1:4" x14ac:dyDescent="0.25">
      <c r="A16" t="s">
        <v>335</v>
      </c>
      <c r="B16" s="20">
        <v>24</v>
      </c>
      <c r="C16" s="20">
        <v>720</v>
      </c>
    </row>
    <row r="17" spans="1:3" x14ac:dyDescent="0.25">
      <c r="A17" t="s">
        <v>645</v>
      </c>
      <c r="B17" s="20">
        <v>12</v>
      </c>
      <c r="C17" s="20">
        <v>365</v>
      </c>
    </row>
    <row r="18" spans="1:3" x14ac:dyDescent="0.25">
      <c r="A18" t="s">
        <v>19</v>
      </c>
      <c r="B18" s="20">
        <v>24</v>
      </c>
      <c r="C18" s="20">
        <v>720</v>
      </c>
    </row>
    <row r="19" spans="1:3" x14ac:dyDescent="0.25">
      <c r="A19" t="s">
        <v>646</v>
      </c>
      <c r="B19" s="20">
        <v>12</v>
      </c>
      <c r="C19" s="20">
        <v>365</v>
      </c>
    </row>
    <row r="20" spans="1:3" x14ac:dyDescent="0.25">
      <c r="A20" t="s">
        <v>647</v>
      </c>
      <c r="B20" s="20">
        <v>6</v>
      </c>
      <c r="C20" s="20">
        <v>180</v>
      </c>
    </row>
    <row r="21" spans="1:3" x14ac:dyDescent="0.25">
      <c r="A21" t="s">
        <v>650</v>
      </c>
      <c r="B21" s="20">
        <v>24</v>
      </c>
      <c r="C21" s="20">
        <v>720</v>
      </c>
    </row>
    <row r="22" spans="1:3" x14ac:dyDescent="0.25">
      <c r="A22" t="s">
        <v>648</v>
      </c>
      <c r="B22" s="20">
        <v>12</v>
      </c>
      <c r="C22" s="20">
        <v>365</v>
      </c>
    </row>
    <row r="23" spans="1:3" x14ac:dyDescent="0.25">
      <c r="A23" t="s">
        <v>649</v>
      </c>
      <c r="B23" s="20">
        <v>24</v>
      </c>
      <c r="C23" s="20">
        <v>720</v>
      </c>
    </row>
    <row r="24" spans="1:3" x14ac:dyDescent="0.25">
      <c r="A24" t="s">
        <v>651</v>
      </c>
      <c r="B24" s="20">
        <v>36</v>
      </c>
      <c r="C24" s="20">
        <v>1080</v>
      </c>
    </row>
    <row r="25" spans="1:3" x14ac:dyDescent="0.25">
      <c r="A25" t="s">
        <v>652</v>
      </c>
      <c r="B25" s="20">
        <v>12</v>
      </c>
      <c r="C25" s="20">
        <v>365</v>
      </c>
    </row>
    <row r="26" spans="1:3" x14ac:dyDescent="0.25">
      <c r="A26" t="s">
        <v>653</v>
      </c>
      <c r="B26" s="20">
        <v>3</v>
      </c>
      <c r="C26" s="20">
        <v>90</v>
      </c>
    </row>
    <row r="27" spans="1:3" x14ac:dyDescent="0.25">
      <c r="A27" t="s">
        <v>937</v>
      </c>
      <c r="B27" s="20">
        <v>12</v>
      </c>
      <c r="C27" s="20">
        <v>365</v>
      </c>
    </row>
    <row r="28" spans="1:3" x14ac:dyDescent="0.25">
      <c r="A28" t="s">
        <v>654</v>
      </c>
      <c r="B28" s="20">
        <v>12</v>
      </c>
      <c r="C28" s="20">
        <v>365</v>
      </c>
    </row>
    <row r="29" spans="1:3" x14ac:dyDescent="0.25">
      <c r="A29" t="s">
        <v>655</v>
      </c>
      <c r="B29" s="20">
        <v>12</v>
      </c>
      <c r="C29" s="20">
        <v>365</v>
      </c>
    </row>
    <row r="30" spans="1:3" x14ac:dyDescent="0.25">
      <c r="A30" t="s">
        <v>656</v>
      </c>
      <c r="B30" s="20">
        <v>36</v>
      </c>
      <c r="C30" s="20">
        <v>1080</v>
      </c>
    </row>
    <row r="31" spans="1:3" x14ac:dyDescent="0.25">
      <c r="A31" t="s">
        <v>847</v>
      </c>
      <c r="B31" s="20">
        <v>12</v>
      </c>
      <c r="C31" s="20">
        <v>365</v>
      </c>
    </row>
    <row r="32" spans="1:3" x14ac:dyDescent="0.25">
      <c r="A32" t="s">
        <v>657</v>
      </c>
      <c r="B32" s="20">
        <v>30</v>
      </c>
      <c r="C32" s="20">
        <v>900</v>
      </c>
    </row>
    <row r="33" spans="1:3" x14ac:dyDescent="0.25">
      <c r="A33" t="s">
        <v>660</v>
      </c>
      <c r="B33" s="20">
        <v>24</v>
      </c>
      <c r="C33" s="20">
        <v>720</v>
      </c>
    </row>
    <row r="34" spans="1:3" x14ac:dyDescent="0.25">
      <c r="A34" t="s">
        <v>658</v>
      </c>
      <c r="B34" s="20">
        <v>30</v>
      </c>
      <c r="C34" s="20">
        <v>900</v>
      </c>
    </row>
    <row r="35" spans="1:3" x14ac:dyDescent="0.25">
      <c r="A35" t="s">
        <v>659</v>
      </c>
      <c r="B35" s="20">
        <v>12</v>
      </c>
      <c r="C35" s="20">
        <v>365</v>
      </c>
    </row>
    <row r="36" spans="1:3" x14ac:dyDescent="0.25">
      <c r="A36" t="s">
        <v>574</v>
      </c>
      <c r="B36" s="20">
        <v>30</v>
      </c>
      <c r="C36" s="20">
        <v>900</v>
      </c>
    </row>
    <row r="37" spans="1:3" x14ac:dyDescent="0.25">
      <c r="A37" t="s">
        <v>932</v>
      </c>
      <c r="B37" s="20">
        <v>24</v>
      </c>
      <c r="C37" s="20">
        <v>720</v>
      </c>
    </row>
    <row r="38" spans="1:3" x14ac:dyDescent="0.25">
      <c r="A38" t="s">
        <v>661</v>
      </c>
      <c r="B38" s="20">
        <v>30</v>
      </c>
      <c r="C38" s="20">
        <v>900</v>
      </c>
    </row>
    <row r="39" spans="1:3" x14ac:dyDescent="0.25">
      <c r="A39" t="s">
        <v>372</v>
      </c>
      <c r="B39" s="20">
        <v>12</v>
      </c>
      <c r="C39" s="20">
        <v>365</v>
      </c>
    </row>
    <row r="40" spans="1:3" x14ac:dyDescent="0.25">
      <c r="A40" t="s">
        <v>52</v>
      </c>
      <c r="B40" s="20">
        <v>12</v>
      </c>
      <c r="C40" s="20">
        <v>365</v>
      </c>
    </row>
    <row r="41" spans="1:3" x14ac:dyDescent="0.25">
      <c r="A41" t="s">
        <v>947</v>
      </c>
      <c r="B41" s="20">
        <v>12</v>
      </c>
      <c r="C41" s="20">
        <v>365</v>
      </c>
    </row>
    <row r="42" spans="1:3" x14ac:dyDescent="0.25">
      <c r="A42" t="s">
        <v>107</v>
      </c>
      <c r="B42" s="20">
        <v>12</v>
      </c>
      <c r="C42" s="20">
        <v>365</v>
      </c>
    </row>
    <row r="43" spans="1:3" x14ac:dyDescent="0.25">
      <c r="A43" t="s">
        <v>388</v>
      </c>
      <c r="B43" s="20">
        <v>12</v>
      </c>
      <c r="C43" s="20">
        <v>365</v>
      </c>
    </row>
    <row r="44" spans="1:3" x14ac:dyDescent="0.25">
      <c r="A44" t="s">
        <v>662</v>
      </c>
      <c r="B44" s="20">
        <v>24</v>
      </c>
      <c r="C44" s="20">
        <v>720</v>
      </c>
    </row>
    <row r="45" spans="1:3" x14ac:dyDescent="0.25">
      <c r="A45" t="s">
        <v>663</v>
      </c>
      <c r="B45" s="20">
        <v>24</v>
      </c>
      <c r="C45" s="20">
        <v>720</v>
      </c>
    </row>
    <row r="46" spans="1:3" x14ac:dyDescent="0.25">
      <c r="A46" t="s">
        <v>720</v>
      </c>
      <c r="B46" s="20">
        <v>18</v>
      </c>
      <c r="C46" s="20">
        <v>540</v>
      </c>
    </row>
    <row r="47" spans="1:3" x14ac:dyDescent="0.25">
      <c r="A47" t="s">
        <v>664</v>
      </c>
      <c r="B47" s="20">
        <v>24</v>
      </c>
      <c r="C47" s="20">
        <v>720</v>
      </c>
    </row>
    <row r="48" spans="1:3" x14ac:dyDescent="0.25">
      <c r="A48" t="s">
        <v>665</v>
      </c>
      <c r="B48" s="20">
        <v>3</v>
      </c>
      <c r="C48" s="20">
        <v>90</v>
      </c>
    </row>
    <row r="49" spans="1:3" x14ac:dyDescent="0.25">
      <c r="A49" t="s">
        <v>933</v>
      </c>
      <c r="B49" s="20">
        <v>12</v>
      </c>
      <c r="C49" s="20">
        <v>365</v>
      </c>
    </row>
    <row r="50" spans="1:3" x14ac:dyDescent="0.25">
      <c r="A50" t="s">
        <v>666</v>
      </c>
      <c r="B50" s="20">
        <v>3</v>
      </c>
      <c r="C50" s="20">
        <v>90</v>
      </c>
    </row>
    <row r="51" spans="1:3" x14ac:dyDescent="0.25">
      <c r="A51" t="s">
        <v>938</v>
      </c>
      <c r="B51" s="20">
        <v>24</v>
      </c>
      <c r="C51" s="20">
        <v>720</v>
      </c>
    </row>
    <row r="52" spans="1:3" x14ac:dyDescent="0.25">
      <c r="A52" t="s">
        <v>411</v>
      </c>
      <c r="B52" s="20">
        <v>24</v>
      </c>
      <c r="C52" s="20">
        <v>720</v>
      </c>
    </row>
    <row r="53" spans="1:3" x14ac:dyDescent="0.25">
      <c r="A53" t="s">
        <v>940</v>
      </c>
      <c r="B53" s="20">
        <v>24</v>
      </c>
      <c r="C53" s="20">
        <v>720</v>
      </c>
    </row>
    <row r="54" spans="1:3" x14ac:dyDescent="0.25">
      <c r="A54" t="s">
        <v>939</v>
      </c>
      <c r="B54" s="20">
        <v>24</v>
      </c>
      <c r="C54" s="20">
        <v>720</v>
      </c>
    </row>
    <row r="55" spans="1:3" x14ac:dyDescent="0.25">
      <c r="A55" t="s">
        <v>941</v>
      </c>
      <c r="B55" s="20">
        <v>24</v>
      </c>
      <c r="C55" s="20">
        <v>720</v>
      </c>
    </row>
    <row r="56" spans="1:3" x14ac:dyDescent="0.25">
      <c r="A56" t="s">
        <v>667</v>
      </c>
      <c r="B56" s="20">
        <v>24</v>
      </c>
      <c r="C56" s="20">
        <v>720</v>
      </c>
    </row>
    <row r="57" spans="1:3" x14ac:dyDescent="0.25">
      <c r="A57" t="s">
        <v>404</v>
      </c>
      <c r="B57" s="20">
        <v>24</v>
      </c>
      <c r="C57" s="20">
        <v>720</v>
      </c>
    </row>
    <row r="58" spans="1:3" x14ac:dyDescent="0.25">
      <c r="A58" t="s">
        <v>668</v>
      </c>
      <c r="B58" s="20">
        <v>24</v>
      </c>
      <c r="C58" s="20">
        <v>720</v>
      </c>
    </row>
    <row r="59" spans="1:3" x14ac:dyDescent="0.25">
      <c r="A59" t="s">
        <v>942</v>
      </c>
      <c r="B59" s="20">
        <v>24</v>
      </c>
      <c r="C59" s="20">
        <v>720</v>
      </c>
    </row>
    <row r="60" spans="1:3" x14ac:dyDescent="0.25">
      <c r="A60" t="s">
        <v>669</v>
      </c>
      <c r="B60" s="20">
        <v>24</v>
      </c>
      <c r="C60" s="20">
        <v>720</v>
      </c>
    </row>
    <row r="61" spans="1:3" x14ac:dyDescent="0.25">
      <c r="A61" t="s">
        <v>670</v>
      </c>
      <c r="B61" s="20">
        <v>24</v>
      </c>
      <c r="C61" s="20">
        <v>720</v>
      </c>
    </row>
    <row r="62" spans="1:3" x14ac:dyDescent="0.25">
      <c r="A62" t="s">
        <v>671</v>
      </c>
      <c r="B62" s="20">
        <v>24</v>
      </c>
      <c r="C62" s="20">
        <v>720</v>
      </c>
    </row>
    <row r="63" spans="1:3" x14ac:dyDescent="0.25">
      <c r="A63" t="s">
        <v>672</v>
      </c>
      <c r="B63" s="20">
        <v>24</v>
      </c>
      <c r="C63" s="20">
        <v>720</v>
      </c>
    </row>
    <row r="64" spans="1:3" x14ac:dyDescent="0.25">
      <c r="A64" t="s">
        <v>677</v>
      </c>
      <c r="B64" s="20">
        <v>24</v>
      </c>
      <c r="C64" s="20">
        <v>720</v>
      </c>
    </row>
    <row r="65" spans="1:3" x14ac:dyDescent="0.25">
      <c r="A65" t="s">
        <v>676</v>
      </c>
      <c r="B65" s="20">
        <v>18</v>
      </c>
      <c r="C65" s="20">
        <v>540</v>
      </c>
    </row>
    <row r="66" spans="1:3" x14ac:dyDescent="0.25">
      <c r="A66" t="s">
        <v>673</v>
      </c>
      <c r="B66" s="20">
        <v>18</v>
      </c>
      <c r="C66" s="20">
        <v>540</v>
      </c>
    </row>
    <row r="67" spans="1:3" x14ac:dyDescent="0.25">
      <c r="A67" t="s">
        <v>674</v>
      </c>
      <c r="B67" s="20">
        <v>18</v>
      </c>
      <c r="C67" s="20">
        <v>540</v>
      </c>
    </row>
    <row r="68" spans="1:3" x14ac:dyDescent="0.25">
      <c r="A68" t="s">
        <v>675</v>
      </c>
      <c r="B68" s="20">
        <v>18</v>
      </c>
      <c r="C68" s="20">
        <v>540</v>
      </c>
    </row>
    <row r="69" spans="1:3" x14ac:dyDescent="0.25">
      <c r="A69" t="s">
        <v>100</v>
      </c>
      <c r="B69" s="20">
        <v>12</v>
      </c>
      <c r="C69" s="20">
        <v>365</v>
      </c>
    </row>
    <row r="70" spans="1:3" x14ac:dyDescent="0.25">
      <c r="A70" t="s">
        <v>678</v>
      </c>
      <c r="B70" s="20">
        <v>12</v>
      </c>
      <c r="C70" s="20">
        <v>365</v>
      </c>
    </row>
    <row r="71" spans="1:3" x14ac:dyDescent="0.25">
      <c r="A71" t="s">
        <v>679</v>
      </c>
      <c r="B71" s="20">
        <v>18</v>
      </c>
      <c r="C71" s="20">
        <v>540</v>
      </c>
    </row>
    <row r="72" spans="1:3" x14ac:dyDescent="0.25">
      <c r="A72" t="s">
        <v>943</v>
      </c>
      <c r="B72" s="20">
        <v>24</v>
      </c>
      <c r="C72" s="20">
        <v>720</v>
      </c>
    </row>
    <row r="73" spans="1:3" x14ac:dyDescent="0.25">
      <c r="A73" t="s">
        <v>186</v>
      </c>
      <c r="B73" s="20">
        <v>24</v>
      </c>
      <c r="C73" s="20">
        <v>720</v>
      </c>
    </row>
    <row r="74" spans="1:3" x14ac:dyDescent="0.25">
      <c r="A74" t="s">
        <v>680</v>
      </c>
      <c r="B74" s="20">
        <v>24</v>
      </c>
      <c r="C74" s="20">
        <v>720</v>
      </c>
    </row>
    <row r="75" spans="1:3" x14ac:dyDescent="0.25">
      <c r="A75" t="s">
        <v>681</v>
      </c>
      <c r="B75" s="20">
        <v>24</v>
      </c>
      <c r="C75" s="20">
        <v>720</v>
      </c>
    </row>
    <row r="76" spans="1:3" x14ac:dyDescent="0.25">
      <c r="A76" t="s">
        <v>328</v>
      </c>
      <c r="B76" s="20">
        <v>12</v>
      </c>
      <c r="C76" s="20">
        <v>365</v>
      </c>
    </row>
    <row r="77" spans="1:3" x14ac:dyDescent="0.25">
      <c r="A77" t="s">
        <v>682</v>
      </c>
      <c r="B77" s="20">
        <v>60</v>
      </c>
      <c r="C77" s="20">
        <v>1800</v>
      </c>
    </row>
    <row r="78" spans="1:3" x14ac:dyDescent="0.25">
      <c r="A78" t="s">
        <v>683</v>
      </c>
      <c r="B78" s="20">
        <v>24</v>
      </c>
      <c r="C78" s="20">
        <v>720</v>
      </c>
    </row>
    <row r="79" spans="1:3" x14ac:dyDescent="0.25">
      <c r="A79" t="s">
        <v>93</v>
      </c>
      <c r="B79" s="20">
        <v>24</v>
      </c>
      <c r="C79" s="20">
        <v>720</v>
      </c>
    </row>
    <row r="80" spans="1:3" x14ac:dyDescent="0.25">
      <c r="A80" t="s">
        <v>161</v>
      </c>
      <c r="B80" s="20">
        <v>36</v>
      </c>
      <c r="C80" s="20">
        <v>1080</v>
      </c>
    </row>
    <row r="81" spans="1:3" x14ac:dyDescent="0.25">
      <c r="A81" t="s">
        <v>684</v>
      </c>
      <c r="B81" s="20">
        <v>12</v>
      </c>
      <c r="C81" s="20">
        <v>365</v>
      </c>
    </row>
    <row r="82" spans="1:3" x14ac:dyDescent="0.25">
      <c r="A82" t="s">
        <v>946</v>
      </c>
      <c r="B82" s="20" t="s">
        <v>558</v>
      </c>
      <c r="C82" s="20" t="s">
        <v>558</v>
      </c>
    </row>
    <row r="83" spans="1:3" x14ac:dyDescent="0.25">
      <c r="A83" t="s">
        <v>685</v>
      </c>
      <c r="B83" s="20" t="s">
        <v>558</v>
      </c>
      <c r="C83" s="20" t="s">
        <v>558</v>
      </c>
    </row>
    <row r="84" spans="1:3" x14ac:dyDescent="0.25">
      <c r="A84" t="s">
        <v>686</v>
      </c>
      <c r="B84" s="20">
        <v>24</v>
      </c>
      <c r="C84" s="20">
        <v>720</v>
      </c>
    </row>
    <row r="85" spans="1:3" x14ac:dyDescent="0.25">
      <c r="A85" t="s">
        <v>687</v>
      </c>
      <c r="B85" s="20" t="s">
        <v>558</v>
      </c>
      <c r="C85" s="20" t="s">
        <v>558</v>
      </c>
    </row>
    <row r="86" spans="1:3" x14ac:dyDescent="0.25">
      <c r="A86" t="s">
        <v>708</v>
      </c>
      <c r="B86" s="20">
        <v>24</v>
      </c>
      <c r="C86" s="20">
        <v>720</v>
      </c>
    </row>
    <row r="87" spans="1:3" x14ac:dyDescent="0.25">
      <c r="A87" t="s">
        <v>688</v>
      </c>
      <c r="B87" s="20">
        <v>24</v>
      </c>
      <c r="C87" s="20">
        <v>720</v>
      </c>
    </row>
    <row r="88" spans="1:3" x14ac:dyDescent="0.25">
      <c r="A88" t="s">
        <v>555</v>
      </c>
      <c r="B88" s="20">
        <v>36</v>
      </c>
      <c r="C88" s="20">
        <v>1080</v>
      </c>
    </row>
    <row r="89" spans="1:3" x14ac:dyDescent="0.25">
      <c r="A89" t="s">
        <v>30</v>
      </c>
      <c r="B89" s="20">
        <v>36</v>
      </c>
      <c r="C89" s="20">
        <v>1080</v>
      </c>
    </row>
    <row r="90" spans="1:3" x14ac:dyDescent="0.25">
      <c r="A90" t="s">
        <v>689</v>
      </c>
      <c r="B90" s="20">
        <v>24</v>
      </c>
      <c r="C90" s="20">
        <v>720</v>
      </c>
    </row>
    <row r="91" spans="1:3" x14ac:dyDescent="0.25">
      <c r="A91" t="s">
        <v>944</v>
      </c>
      <c r="B91" s="20">
        <v>24</v>
      </c>
      <c r="C91" s="20">
        <v>720</v>
      </c>
    </row>
    <row r="92" spans="1:3" x14ac:dyDescent="0.25">
      <c r="A92" t="s">
        <v>96</v>
      </c>
      <c r="B92" s="20">
        <v>24</v>
      </c>
      <c r="C92" s="20">
        <v>720</v>
      </c>
    </row>
    <row r="93" spans="1:3" x14ac:dyDescent="0.25">
      <c r="A93" t="s">
        <v>934</v>
      </c>
      <c r="B93" s="20">
        <v>24</v>
      </c>
      <c r="C93" s="20">
        <v>720</v>
      </c>
    </row>
    <row r="94" spans="1:3" x14ac:dyDescent="0.25">
      <c r="A94" t="s">
        <v>690</v>
      </c>
      <c r="B94" s="20">
        <v>24</v>
      </c>
      <c r="C94" s="20">
        <v>720</v>
      </c>
    </row>
    <row r="95" spans="1:3" x14ac:dyDescent="0.25">
      <c r="A95" t="s">
        <v>696</v>
      </c>
      <c r="B95" s="20">
        <v>24</v>
      </c>
      <c r="C95" s="20">
        <v>720</v>
      </c>
    </row>
    <row r="96" spans="1:3" x14ac:dyDescent="0.25">
      <c r="A96" t="s">
        <v>692</v>
      </c>
      <c r="B96" s="20">
        <v>12</v>
      </c>
      <c r="C96" s="20">
        <v>365</v>
      </c>
    </row>
    <row r="97" spans="1:3" x14ac:dyDescent="0.25">
      <c r="A97" t="s">
        <v>691</v>
      </c>
      <c r="B97" s="20">
        <v>12</v>
      </c>
      <c r="C97" s="20">
        <v>365</v>
      </c>
    </row>
    <row r="98" spans="1:3" x14ac:dyDescent="0.25">
      <c r="A98" t="s">
        <v>693</v>
      </c>
      <c r="B98" s="20">
        <v>18</v>
      </c>
      <c r="C98" s="20">
        <v>540</v>
      </c>
    </row>
    <row r="99" spans="1:3" x14ac:dyDescent="0.25">
      <c r="A99" t="s">
        <v>694</v>
      </c>
      <c r="B99" s="20">
        <v>24</v>
      </c>
      <c r="C99" s="20">
        <v>720</v>
      </c>
    </row>
    <row r="100" spans="1:3" x14ac:dyDescent="0.25">
      <c r="A100" t="s">
        <v>695</v>
      </c>
      <c r="B100" s="20">
        <v>12</v>
      </c>
      <c r="C100" s="20">
        <v>365</v>
      </c>
    </row>
    <row r="101" spans="1:3" x14ac:dyDescent="0.25">
      <c r="A101" t="s">
        <v>697</v>
      </c>
      <c r="B101" s="20">
        <v>12</v>
      </c>
      <c r="C101" s="20">
        <v>365</v>
      </c>
    </row>
    <row r="102" spans="1:3" x14ac:dyDescent="0.25">
      <c r="A102" t="s">
        <v>698</v>
      </c>
      <c r="B102" s="20">
        <v>24</v>
      </c>
      <c r="C102" s="20">
        <v>720</v>
      </c>
    </row>
    <row r="103" spans="1:3" x14ac:dyDescent="0.25">
      <c r="A103" t="s">
        <v>935</v>
      </c>
      <c r="B103" s="20">
        <v>24</v>
      </c>
      <c r="C103" s="20">
        <v>720</v>
      </c>
    </row>
    <row r="104" spans="1:3" x14ac:dyDescent="0.25">
      <c r="A104" t="s">
        <v>700</v>
      </c>
      <c r="B104" s="20">
        <v>18</v>
      </c>
      <c r="C104" s="20">
        <v>540</v>
      </c>
    </row>
    <row r="105" spans="1:3" x14ac:dyDescent="0.25">
      <c r="A105" t="s">
        <v>699</v>
      </c>
      <c r="B105" s="20">
        <v>24</v>
      </c>
      <c r="C105" s="20">
        <v>720</v>
      </c>
    </row>
    <row r="106" spans="1:3" x14ac:dyDescent="0.25">
      <c r="A106" t="s">
        <v>164</v>
      </c>
      <c r="B106" s="20">
        <v>24</v>
      </c>
      <c r="C106" s="20">
        <v>720</v>
      </c>
    </row>
    <row r="107" spans="1:3" x14ac:dyDescent="0.25">
      <c r="A107" t="s">
        <v>701</v>
      </c>
      <c r="B107" s="20" t="s">
        <v>558</v>
      </c>
      <c r="C107" s="20" t="s">
        <v>558</v>
      </c>
    </row>
    <row r="108" spans="1:3" x14ac:dyDescent="0.25">
      <c r="A108" t="s">
        <v>227</v>
      </c>
      <c r="B108" s="20">
        <v>24</v>
      </c>
      <c r="C108" s="20">
        <v>720</v>
      </c>
    </row>
    <row r="109" spans="1:3" x14ac:dyDescent="0.25">
      <c r="A109" t="s">
        <v>851</v>
      </c>
      <c r="B109" s="20">
        <v>12</v>
      </c>
      <c r="C109" s="20">
        <v>365</v>
      </c>
    </row>
    <row r="110" spans="1:3" x14ac:dyDescent="0.25">
      <c r="A110" t="s">
        <v>945</v>
      </c>
      <c r="B110" s="20">
        <v>12</v>
      </c>
      <c r="C110" s="20">
        <v>365</v>
      </c>
    </row>
    <row r="111" spans="1:3" x14ac:dyDescent="0.25">
      <c r="A111" t="s">
        <v>792</v>
      </c>
      <c r="B111" s="20">
        <v>6</v>
      </c>
      <c r="C111" s="20">
        <v>180</v>
      </c>
    </row>
    <row r="112" spans="1:3" x14ac:dyDescent="0.25">
      <c r="A112" t="s">
        <v>702</v>
      </c>
      <c r="B112" s="20">
        <v>24</v>
      </c>
      <c r="C112" s="20">
        <v>720</v>
      </c>
    </row>
    <row r="113" spans="1:3" x14ac:dyDescent="0.25">
      <c r="A113" t="s">
        <v>585</v>
      </c>
      <c r="B113" s="20">
        <v>24</v>
      </c>
      <c r="C113" s="20">
        <v>720</v>
      </c>
    </row>
  </sheetData>
  <autoFilter ref="A3:D84" xr:uid="{D57F5230-6A31-4CB0-8A1F-C4FBBB753088}"/>
  <sortState xmlns:xlrd2="http://schemas.microsoft.com/office/spreadsheetml/2017/richdata2" ref="A4:C113">
    <sortCondition ref="A4:A113"/>
  </sortState>
  <mergeCells count="2">
    <mergeCell ref="A1:D1"/>
    <mergeCell ref="A2:D2"/>
  </mergeCells>
  <pageMargins left="0.511811024" right="0.511811024" top="0.78740157499999996" bottom="0.78740157499999996" header="0.31496062000000002" footer="0.31496062000000002"/>
  <pageSetup paperSize="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A7630-540D-477E-A478-630277133FD8}">
  <dimension ref="A2:B110"/>
  <sheetViews>
    <sheetView zoomScaleNormal="100" zoomScaleSheetLayoutView="160" workbookViewId="0">
      <selection activeCell="A16" sqref="A16"/>
    </sheetView>
  </sheetViews>
  <sheetFormatPr defaultRowHeight="15" x14ac:dyDescent="0.25"/>
  <cols>
    <col min="1" max="1" width="45.85546875" style="31" bestFit="1" customWidth="1"/>
    <col min="2" max="2" width="103.140625" customWidth="1"/>
  </cols>
  <sheetData>
    <row r="2" spans="1:2" ht="15.75" x14ac:dyDescent="0.25">
      <c r="A2" s="30" t="s">
        <v>634</v>
      </c>
      <c r="B2" s="25" t="s">
        <v>950</v>
      </c>
    </row>
    <row r="3" spans="1:2" ht="15.75" customHeight="1" x14ac:dyDescent="0.25">
      <c r="A3" s="30" t="s">
        <v>637</v>
      </c>
      <c r="B3" s="109" t="s">
        <v>954</v>
      </c>
    </row>
    <row r="4" spans="1:2" ht="15.75" customHeight="1" x14ac:dyDescent="0.25">
      <c r="A4" s="30" t="s">
        <v>638</v>
      </c>
      <c r="B4" s="110"/>
    </row>
    <row r="5" spans="1:2" ht="15.75" x14ac:dyDescent="0.25">
      <c r="A5" s="30" t="s">
        <v>640</v>
      </c>
      <c r="B5" s="25" t="s">
        <v>1054</v>
      </c>
    </row>
    <row r="6" spans="1:2" ht="15.75" x14ac:dyDescent="0.25">
      <c r="A6" s="30" t="s">
        <v>158</v>
      </c>
      <c r="B6" s="25" t="s">
        <v>955</v>
      </c>
    </row>
    <row r="7" spans="1:2" ht="15.75" customHeight="1" x14ac:dyDescent="0.25">
      <c r="A7" s="30" t="s">
        <v>639</v>
      </c>
      <c r="B7" s="107" t="s">
        <v>956</v>
      </c>
    </row>
    <row r="8" spans="1:2" x14ac:dyDescent="0.25">
      <c r="A8" s="30" t="s">
        <v>641</v>
      </c>
      <c r="B8" s="107"/>
    </row>
    <row r="9" spans="1:2" ht="15.75" x14ac:dyDescent="0.25">
      <c r="A9" s="30" t="s">
        <v>936</v>
      </c>
      <c r="B9" s="25" t="s">
        <v>957</v>
      </c>
    </row>
    <row r="10" spans="1:2" ht="31.5" customHeight="1" x14ac:dyDescent="0.25">
      <c r="A10" s="30" t="s">
        <v>529</v>
      </c>
      <c r="B10" s="26" t="s">
        <v>958</v>
      </c>
    </row>
    <row r="11" spans="1:2" ht="15.75" x14ac:dyDescent="0.25">
      <c r="A11" s="30" t="s">
        <v>642</v>
      </c>
      <c r="B11" s="25" t="s">
        <v>959</v>
      </c>
    </row>
    <row r="12" spans="1:2" ht="34.5" customHeight="1" x14ac:dyDescent="0.25">
      <c r="A12" s="30" t="s">
        <v>643</v>
      </c>
      <c r="B12" s="26" t="s">
        <v>960</v>
      </c>
    </row>
    <row r="13" spans="1:2" ht="15.75" x14ac:dyDescent="0.25">
      <c r="A13" s="30" t="s">
        <v>644</v>
      </c>
      <c r="B13" s="27" t="s">
        <v>961</v>
      </c>
    </row>
    <row r="14" spans="1:2" ht="30.75" x14ac:dyDescent="0.25">
      <c r="A14" s="30" t="s">
        <v>335</v>
      </c>
      <c r="B14" s="26" t="s">
        <v>962</v>
      </c>
    </row>
    <row r="15" spans="1:2" ht="30.75" x14ac:dyDescent="0.25">
      <c r="A15" s="30" t="s">
        <v>645</v>
      </c>
      <c r="B15" s="26" t="s">
        <v>963</v>
      </c>
    </row>
    <row r="16" spans="1:2" ht="30.75" x14ac:dyDescent="0.25">
      <c r="A16" s="30" t="s">
        <v>19</v>
      </c>
      <c r="B16" s="26" t="s">
        <v>964</v>
      </c>
    </row>
    <row r="17" spans="1:2" ht="45" x14ac:dyDescent="0.25">
      <c r="A17" s="29" t="s">
        <v>646</v>
      </c>
      <c r="B17" s="44" t="s">
        <v>965</v>
      </c>
    </row>
    <row r="18" spans="1:2" ht="45" x14ac:dyDescent="0.25">
      <c r="A18" s="30" t="s">
        <v>647</v>
      </c>
      <c r="B18" s="44" t="s">
        <v>966</v>
      </c>
    </row>
    <row r="19" spans="1:2" x14ac:dyDescent="0.25">
      <c r="A19" s="30" t="s">
        <v>650</v>
      </c>
      <c r="B19" s="44" t="s">
        <v>967</v>
      </c>
    </row>
    <row r="20" spans="1:2" ht="30.75" x14ac:dyDescent="0.25">
      <c r="A20" s="30" t="s">
        <v>648</v>
      </c>
      <c r="B20" s="26" t="s">
        <v>968</v>
      </c>
    </row>
    <row r="21" spans="1:2" ht="30.75" x14ac:dyDescent="0.25">
      <c r="A21" s="30" t="s">
        <v>649</v>
      </c>
      <c r="B21" s="28" t="s">
        <v>969</v>
      </c>
    </row>
    <row r="22" spans="1:2" x14ac:dyDescent="0.25">
      <c r="A22" s="30" t="s">
        <v>651</v>
      </c>
      <c r="B22" s="44" t="s">
        <v>970</v>
      </c>
    </row>
    <row r="23" spans="1:2" ht="30.75" x14ac:dyDescent="0.25">
      <c r="A23" s="30" t="s">
        <v>652</v>
      </c>
      <c r="B23" s="26" t="s">
        <v>971</v>
      </c>
    </row>
    <row r="24" spans="1:2" ht="30.75" x14ac:dyDescent="0.25">
      <c r="A24" s="30" t="s">
        <v>653</v>
      </c>
      <c r="B24" s="26" t="s">
        <v>972</v>
      </c>
    </row>
    <row r="25" spans="1:2" ht="15.75" x14ac:dyDescent="0.25">
      <c r="A25" s="30" t="s">
        <v>937</v>
      </c>
      <c r="B25" s="26" t="s">
        <v>973</v>
      </c>
    </row>
    <row r="26" spans="1:2" ht="15.75" x14ac:dyDescent="0.25">
      <c r="A26" s="30" t="s">
        <v>654</v>
      </c>
      <c r="B26" s="25" t="s">
        <v>974</v>
      </c>
    </row>
    <row r="27" spans="1:2" ht="15.75" x14ac:dyDescent="0.25">
      <c r="A27" s="30" t="s">
        <v>655</v>
      </c>
      <c r="B27" s="25" t="s">
        <v>975</v>
      </c>
    </row>
    <row r="28" spans="1:2" ht="30.75" x14ac:dyDescent="0.25">
      <c r="A28" s="30" t="s">
        <v>656</v>
      </c>
      <c r="B28" s="26" t="s">
        <v>976</v>
      </c>
    </row>
    <row r="29" spans="1:2" ht="45.75" x14ac:dyDescent="0.25">
      <c r="A29" s="30" t="s">
        <v>847</v>
      </c>
      <c r="B29" s="26" t="s">
        <v>977</v>
      </c>
    </row>
    <row r="30" spans="1:2" ht="15.75" x14ac:dyDescent="0.25">
      <c r="A30" s="30" t="s">
        <v>978</v>
      </c>
      <c r="B30" s="25" t="s">
        <v>979</v>
      </c>
    </row>
    <row r="31" spans="1:2" ht="30.75" x14ac:dyDescent="0.25">
      <c r="A31" s="30" t="s">
        <v>658</v>
      </c>
      <c r="B31" s="26" t="s">
        <v>980</v>
      </c>
    </row>
    <row r="32" spans="1:2" ht="30.75" x14ac:dyDescent="0.25">
      <c r="A32" s="30" t="s">
        <v>659</v>
      </c>
      <c r="B32" s="26" t="s">
        <v>981</v>
      </c>
    </row>
    <row r="33" spans="1:2" ht="15.75" x14ac:dyDescent="0.25">
      <c r="A33" s="30" t="s">
        <v>574</v>
      </c>
      <c r="B33" s="25" t="s">
        <v>982</v>
      </c>
    </row>
    <row r="34" spans="1:2" ht="30.75" x14ac:dyDescent="0.25">
      <c r="A34" s="30" t="s">
        <v>932</v>
      </c>
      <c r="B34" s="26" t="s">
        <v>983</v>
      </c>
    </row>
    <row r="35" spans="1:2" ht="30.75" x14ac:dyDescent="0.25">
      <c r="A35" s="30" t="s">
        <v>661</v>
      </c>
      <c r="B35" s="26" t="s">
        <v>984</v>
      </c>
    </row>
    <row r="36" spans="1:2" ht="30.75" x14ac:dyDescent="0.25">
      <c r="A36" s="30" t="s">
        <v>372</v>
      </c>
      <c r="B36" s="26" t="s">
        <v>985</v>
      </c>
    </row>
    <row r="37" spans="1:2" ht="15.75" x14ac:dyDescent="0.25">
      <c r="A37" s="30" t="s">
        <v>52</v>
      </c>
      <c r="B37" s="25" t="s">
        <v>986</v>
      </c>
    </row>
    <row r="38" spans="1:2" ht="45.75" x14ac:dyDescent="0.25">
      <c r="A38" s="30" t="s">
        <v>987</v>
      </c>
      <c r="B38" s="26" t="s">
        <v>988</v>
      </c>
    </row>
    <row r="39" spans="1:2" ht="30.75" x14ac:dyDescent="0.25">
      <c r="A39" s="30" t="s">
        <v>107</v>
      </c>
      <c r="B39" s="26" t="s">
        <v>989</v>
      </c>
    </row>
    <row r="40" spans="1:2" ht="15.75" x14ac:dyDescent="0.25">
      <c r="A40" s="30" t="s">
        <v>388</v>
      </c>
      <c r="B40" s="25" t="s">
        <v>990</v>
      </c>
    </row>
    <row r="41" spans="1:2" ht="15.75" x14ac:dyDescent="0.25">
      <c r="A41" s="30" t="s">
        <v>662</v>
      </c>
      <c r="B41" s="25" t="s">
        <v>991</v>
      </c>
    </row>
    <row r="42" spans="1:2" ht="49.5" customHeight="1" x14ac:dyDescent="0.25">
      <c r="A42" s="30" t="s">
        <v>1055</v>
      </c>
      <c r="B42" s="26" t="s">
        <v>1052</v>
      </c>
    </row>
    <row r="43" spans="1:2" ht="15.75" x14ac:dyDescent="0.25">
      <c r="A43" s="30" t="s">
        <v>720</v>
      </c>
      <c r="B43" s="25" t="s">
        <v>992</v>
      </c>
    </row>
    <row r="44" spans="1:2" ht="30.75" x14ac:dyDescent="0.25">
      <c r="A44" s="30" t="s">
        <v>664</v>
      </c>
      <c r="B44" s="26" t="s">
        <v>993</v>
      </c>
    </row>
    <row r="45" spans="1:2" ht="15.75" x14ac:dyDescent="0.25">
      <c r="A45" s="30" t="s">
        <v>665</v>
      </c>
      <c r="B45" s="25" t="s">
        <v>994</v>
      </c>
    </row>
    <row r="46" spans="1:2" ht="31.5" customHeight="1" x14ac:dyDescent="0.25">
      <c r="A46" s="30" t="s">
        <v>933</v>
      </c>
      <c r="B46" s="44" t="s">
        <v>1051</v>
      </c>
    </row>
    <row r="47" spans="1:2" ht="15.75" x14ac:dyDescent="0.25">
      <c r="A47" s="30" t="s">
        <v>666</v>
      </c>
      <c r="B47" s="25" t="s">
        <v>995</v>
      </c>
    </row>
    <row r="48" spans="1:2" ht="30.75" x14ac:dyDescent="0.25">
      <c r="A48" s="30" t="s">
        <v>938</v>
      </c>
      <c r="B48" s="26" t="s">
        <v>996</v>
      </c>
    </row>
    <row r="49" spans="1:2" ht="30.75" x14ac:dyDescent="0.25">
      <c r="A49" s="30" t="s">
        <v>411</v>
      </c>
      <c r="B49" s="26" t="s">
        <v>997</v>
      </c>
    </row>
    <row r="50" spans="1:2" ht="30.75" x14ac:dyDescent="0.25">
      <c r="A50" s="30" t="s">
        <v>940</v>
      </c>
      <c r="B50" s="26" t="s">
        <v>998</v>
      </c>
    </row>
    <row r="51" spans="1:2" ht="15.75" customHeight="1" x14ac:dyDescent="0.25">
      <c r="A51" s="30" t="s">
        <v>939</v>
      </c>
      <c r="B51" s="107" t="s">
        <v>999</v>
      </c>
    </row>
    <row r="52" spans="1:2" x14ac:dyDescent="0.25">
      <c r="A52" s="30" t="s">
        <v>941</v>
      </c>
      <c r="B52" s="107"/>
    </row>
    <row r="53" spans="1:2" ht="15.75" x14ac:dyDescent="0.25">
      <c r="A53" s="30" t="s">
        <v>667</v>
      </c>
      <c r="B53" s="25" t="s">
        <v>1000</v>
      </c>
    </row>
    <row r="54" spans="1:2" ht="15.75" x14ac:dyDescent="0.25">
      <c r="A54" s="30" t="s">
        <v>404</v>
      </c>
      <c r="B54" s="25" t="s">
        <v>1001</v>
      </c>
    </row>
    <row r="55" spans="1:2" ht="30.75" x14ac:dyDescent="0.25">
      <c r="A55" s="30" t="s">
        <v>668</v>
      </c>
      <c r="B55" s="26" t="s">
        <v>1002</v>
      </c>
    </row>
    <row r="56" spans="1:2" ht="30.75" x14ac:dyDescent="0.25">
      <c r="A56" s="30" t="s">
        <v>942</v>
      </c>
      <c r="B56" s="26" t="s">
        <v>1003</v>
      </c>
    </row>
    <row r="57" spans="1:2" ht="22.5" customHeight="1" x14ac:dyDescent="0.25">
      <c r="A57" s="30" t="s">
        <v>669</v>
      </c>
      <c r="B57" s="108" t="s">
        <v>1004</v>
      </c>
    </row>
    <row r="58" spans="1:2" ht="21.75" customHeight="1" x14ac:dyDescent="0.25">
      <c r="A58" s="30" t="s">
        <v>670</v>
      </c>
      <c r="B58" s="108"/>
    </row>
    <row r="59" spans="1:2" ht="15.75" x14ac:dyDescent="0.25">
      <c r="A59" s="30" t="s">
        <v>671</v>
      </c>
      <c r="B59" s="25" t="s">
        <v>1005</v>
      </c>
    </row>
    <row r="60" spans="1:2" ht="15.75" x14ac:dyDescent="0.25">
      <c r="A60" s="30" t="s">
        <v>672</v>
      </c>
      <c r="B60" s="25" t="s">
        <v>1006</v>
      </c>
    </row>
    <row r="61" spans="1:2" ht="30.75" x14ac:dyDescent="0.25">
      <c r="A61" s="30" t="s">
        <v>677</v>
      </c>
      <c r="B61" s="26" t="s">
        <v>1007</v>
      </c>
    </row>
    <row r="62" spans="1:2" ht="30.75" x14ac:dyDescent="0.25">
      <c r="A62" s="30" t="s">
        <v>676</v>
      </c>
      <c r="B62" s="26" t="s">
        <v>1008</v>
      </c>
    </row>
    <row r="63" spans="1:2" ht="15.75" x14ac:dyDescent="0.25">
      <c r="A63" s="30" t="s">
        <v>673</v>
      </c>
      <c r="B63" s="25" t="s">
        <v>948</v>
      </c>
    </row>
    <row r="64" spans="1:2" ht="15.75" x14ac:dyDescent="0.25">
      <c r="A64" s="30" t="s">
        <v>674</v>
      </c>
      <c r="B64" s="25" t="s">
        <v>1009</v>
      </c>
    </row>
    <row r="65" spans="1:2" ht="30.75" x14ac:dyDescent="0.25">
      <c r="A65" s="30" t="s">
        <v>675</v>
      </c>
      <c r="B65" s="26" t="s">
        <v>1010</v>
      </c>
    </row>
    <row r="66" spans="1:2" ht="15.75" x14ac:dyDescent="0.25">
      <c r="A66" s="30" t="s">
        <v>100</v>
      </c>
      <c r="B66" s="25" t="s">
        <v>1011</v>
      </c>
    </row>
    <row r="67" spans="1:2" ht="15.75" x14ac:dyDescent="0.25">
      <c r="A67" s="30" t="s">
        <v>678</v>
      </c>
      <c r="B67" s="25" t="s">
        <v>1012</v>
      </c>
    </row>
    <row r="68" spans="1:2" ht="31.5" customHeight="1" x14ac:dyDescent="0.25">
      <c r="A68" s="30" t="s">
        <v>679</v>
      </c>
      <c r="B68" s="26" t="s">
        <v>1013</v>
      </c>
    </row>
    <row r="69" spans="1:2" ht="30.75" x14ac:dyDescent="0.25">
      <c r="A69" s="30" t="s">
        <v>943</v>
      </c>
      <c r="B69" s="26" t="s">
        <v>1014</v>
      </c>
    </row>
    <row r="70" spans="1:2" ht="15.75" x14ac:dyDescent="0.25">
      <c r="A70" s="30" t="s">
        <v>186</v>
      </c>
      <c r="B70" s="25" t="s">
        <v>1015</v>
      </c>
    </row>
    <row r="71" spans="1:2" ht="15.75" x14ac:dyDescent="0.25">
      <c r="A71" s="30" t="s">
        <v>680</v>
      </c>
      <c r="B71" s="25" t="s">
        <v>1016</v>
      </c>
    </row>
    <row r="72" spans="1:2" ht="30.75" x14ac:dyDescent="0.25">
      <c r="A72" s="30" t="s">
        <v>681</v>
      </c>
      <c r="B72" s="26" t="s">
        <v>1053</v>
      </c>
    </row>
    <row r="73" spans="1:2" ht="15.75" x14ac:dyDescent="0.25">
      <c r="A73" s="30" t="s">
        <v>328</v>
      </c>
      <c r="B73" s="25" t="s">
        <v>1017</v>
      </c>
    </row>
    <row r="74" spans="1:2" ht="30.75" x14ac:dyDescent="0.25">
      <c r="A74" s="30" t="s">
        <v>682</v>
      </c>
      <c r="B74" s="26" t="s">
        <v>951</v>
      </c>
    </row>
    <row r="75" spans="1:2" ht="30.75" x14ac:dyDescent="0.25">
      <c r="A75" s="29" t="s">
        <v>683</v>
      </c>
      <c r="B75" s="26" t="s">
        <v>1018</v>
      </c>
    </row>
    <row r="76" spans="1:2" ht="15.75" x14ac:dyDescent="0.25">
      <c r="A76" s="30" t="s">
        <v>93</v>
      </c>
      <c r="B76" s="26" t="s">
        <v>1019</v>
      </c>
    </row>
    <row r="77" spans="1:2" ht="15.75" x14ac:dyDescent="0.25">
      <c r="A77" s="30" t="s">
        <v>161</v>
      </c>
      <c r="B77" s="25" t="s">
        <v>1020</v>
      </c>
    </row>
    <row r="78" spans="1:2" ht="30" x14ac:dyDescent="0.25">
      <c r="A78" s="30" t="s">
        <v>684</v>
      </c>
      <c r="B78" s="44" t="s">
        <v>1021</v>
      </c>
    </row>
    <row r="79" spans="1:2" ht="30.75" x14ac:dyDescent="0.25">
      <c r="A79" s="30" t="s">
        <v>946</v>
      </c>
      <c r="B79" s="26" t="s">
        <v>1022</v>
      </c>
    </row>
    <row r="80" spans="1:2" ht="30.75" x14ac:dyDescent="0.25">
      <c r="A80" s="30" t="s">
        <v>685</v>
      </c>
      <c r="B80" s="26" t="s">
        <v>1035</v>
      </c>
    </row>
    <row r="81" spans="1:2" ht="45" x14ac:dyDescent="0.25">
      <c r="A81" s="30" t="s">
        <v>686</v>
      </c>
      <c r="B81" s="44" t="s">
        <v>1023</v>
      </c>
    </row>
    <row r="82" spans="1:2" ht="15.75" x14ac:dyDescent="0.25">
      <c r="A82" s="30" t="s">
        <v>687</v>
      </c>
      <c r="B82" s="25" t="s">
        <v>1024</v>
      </c>
    </row>
    <row r="83" spans="1:2" ht="15.75" x14ac:dyDescent="0.25">
      <c r="A83" s="30" t="s">
        <v>708</v>
      </c>
      <c r="B83" s="25" t="s">
        <v>1026</v>
      </c>
    </row>
    <row r="84" spans="1:2" ht="30.75" x14ac:dyDescent="0.25">
      <c r="A84" s="30" t="s">
        <v>688</v>
      </c>
      <c r="B84" s="26" t="s">
        <v>1025</v>
      </c>
    </row>
    <row r="85" spans="1:2" ht="30.75" x14ac:dyDescent="0.25">
      <c r="A85" s="30" t="s">
        <v>555</v>
      </c>
      <c r="B85" s="26" t="s">
        <v>1027</v>
      </c>
    </row>
    <row r="86" spans="1:2" ht="30.75" x14ac:dyDescent="0.25">
      <c r="A86" s="30" t="s">
        <v>30</v>
      </c>
      <c r="B86" s="26" t="s">
        <v>1028</v>
      </c>
    </row>
    <row r="87" spans="1:2" ht="30.75" x14ac:dyDescent="0.25">
      <c r="A87" s="30" t="s">
        <v>689</v>
      </c>
      <c r="B87" s="26" t="s">
        <v>1029</v>
      </c>
    </row>
    <row r="88" spans="1:2" ht="30.75" x14ac:dyDescent="0.25">
      <c r="A88" s="30" t="s">
        <v>944</v>
      </c>
      <c r="B88" s="26" t="s">
        <v>1030</v>
      </c>
    </row>
    <row r="89" spans="1:2" ht="15.75" x14ac:dyDescent="0.25">
      <c r="A89" s="30" t="s">
        <v>96</v>
      </c>
      <c r="B89" s="25" t="s">
        <v>1031</v>
      </c>
    </row>
    <row r="90" spans="1:2" ht="15.75" x14ac:dyDescent="0.25">
      <c r="A90" s="30" t="s">
        <v>934</v>
      </c>
      <c r="B90" s="25" t="s">
        <v>1032</v>
      </c>
    </row>
    <row r="91" spans="1:2" ht="30.75" x14ac:dyDescent="0.25">
      <c r="A91" s="30" t="s">
        <v>690</v>
      </c>
      <c r="B91" s="26" t="s">
        <v>1033</v>
      </c>
    </row>
    <row r="92" spans="1:2" ht="15.75" x14ac:dyDescent="0.25">
      <c r="A92" s="30" t="s">
        <v>696</v>
      </c>
      <c r="B92" s="25" t="s">
        <v>1034</v>
      </c>
    </row>
    <row r="93" spans="1:2" ht="45.75" x14ac:dyDescent="0.25">
      <c r="A93" s="30" t="s">
        <v>692</v>
      </c>
      <c r="B93" s="26" t="s">
        <v>1036</v>
      </c>
    </row>
    <row r="94" spans="1:2" ht="15.75" x14ac:dyDescent="0.25">
      <c r="A94" s="30" t="s">
        <v>691</v>
      </c>
      <c r="B94" s="25" t="s">
        <v>1037</v>
      </c>
    </row>
    <row r="95" spans="1:2" ht="15.75" x14ac:dyDescent="0.25">
      <c r="A95" s="30" t="s">
        <v>693</v>
      </c>
      <c r="B95" s="25" t="s">
        <v>1038</v>
      </c>
    </row>
    <row r="96" spans="1:2" ht="30.75" x14ac:dyDescent="0.25">
      <c r="A96" s="30" t="s">
        <v>694</v>
      </c>
      <c r="B96" s="26" t="s">
        <v>949</v>
      </c>
    </row>
    <row r="97" spans="1:2" ht="15.75" x14ac:dyDescent="0.25">
      <c r="A97" s="30" t="s">
        <v>695</v>
      </c>
      <c r="B97" s="25" t="s">
        <v>1039</v>
      </c>
    </row>
    <row r="98" spans="1:2" ht="30.75" x14ac:dyDescent="0.25">
      <c r="A98" s="30" t="s">
        <v>697</v>
      </c>
      <c r="B98" s="26" t="s">
        <v>1040</v>
      </c>
    </row>
    <row r="99" spans="1:2" ht="30.75" x14ac:dyDescent="0.25">
      <c r="A99" s="30" t="s">
        <v>698</v>
      </c>
      <c r="B99" s="26" t="s">
        <v>1041</v>
      </c>
    </row>
    <row r="100" spans="1:2" ht="15.75" x14ac:dyDescent="0.25">
      <c r="A100" s="30" t="s">
        <v>935</v>
      </c>
      <c r="B100" s="25" t="s">
        <v>1042</v>
      </c>
    </row>
    <row r="101" spans="1:2" ht="15.75" x14ac:dyDescent="0.25">
      <c r="A101" s="30" t="s">
        <v>700</v>
      </c>
      <c r="B101" s="25" t="s">
        <v>1043</v>
      </c>
    </row>
    <row r="102" spans="1:2" ht="15.75" x14ac:dyDescent="0.25">
      <c r="A102" s="30" t="s">
        <v>699</v>
      </c>
      <c r="B102" s="25" t="s">
        <v>1044</v>
      </c>
    </row>
    <row r="103" spans="1:2" ht="45.75" x14ac:dyDescent="0.25">
      <c r="A103" s="30" t="s">
        <v>164</v>
      </c>
      <c r="B103" s="26" t="s">
        <v>952</v>
      </c>
    </row>
    <row r="104" spans="1:2" ht="45.75" x14ac:dyDescent="0.25">
      <c r="A104" s="30" t="s">
        <v>701</v>
      </c>
      <c r="B104" s="26" t="s">
        <v>1045</v>
      </c>
    </row>
    <row r="105" spans="1:2" ht="30.75" x14ac:dyDescent="0.25">
      <c r="A105" s="30" t="s">
        <v>227</v>
      </c>
      <c r="B105" s="26" t="s">
        <v>1046</v>
      </c>
    </row>
    <row r="106" spans="1:2" ht="45.75" x14ac:dyDescent="0.25">
      <c r="A106" s="30" t="s">
        <v>851</v>
      </c>
      <c r="B106" s="26" t="s">
        <v>1047</v>
      </c>
    </row>
    <row r="107" spans="1:2" ht="30.75" x14ac:dyDescent="0.25">
      <c r="A107" s="30" t="s">
        <v>945</v>
      </c>
      <c r="B107" s="26" t="s">
        <v>1048</v>
      </c>
    </row>
    <row r="108" spans="1:2" ht="30.75" x14ac:dyDescent="0.25">
      <c r="A108" s="30" t="s">
        <v>792</v>
      </c>
      <c r="B108" s="26" t="s">
        <v>953</v>
      </c>
    </row>
    <row r="109" spans="1:2" ht="30.75" x14ac:dyDescent="0.25">
      <c r="A109" s="30" t="s">
        <v>702</v>
      </c>
      <c r="B109" s="26" t="s">
        <v>1049</v>
      </c>
    </row>
    <row r="110" spans="1:2" ht="45.75" x14ac:dyDescent="0.25">
      <c r="A110" s="30" t="s">
        <v>585</v>
      </c>
      <c r="B110" s="26" t="s">
        <v>1050</v>
      </c>
    </row>
  </sheetData>
  <mergeCells count="4">
    <mergeCell ref="B7:B8"/>
    <mergeCell ref="B51:B52"/>
    <mergeCell ref="B57:B58"/>
    <mergeCell ref="B3:B4"/>
  </mergeCells>
  <pageMargins left="0.511811024" right="0.511811024" top="0.78740157499999996" bottom="0.78740157499999996" header="0.31496062000000002" footer="0.31496062000000002"/>
  <pageSetup paperSize="9" scale="2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Plan1</vt:lpstr>
      <vt:lpstr>Periodicidade</vt:lpstr>
      <vt:lpstr>Planilha1</vt:lpstr>
      <vt:lpstr>Periodicidade!Area_de_impressao</vt:lpstr>
      <vt:lpstr>Plan1!Area_de_impressao</vt:lpstr>
      <vt:lpstr>Plan1!Titulos_de_impressao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Silvana Marzochi</dc:creator>
  <cp:lastModifiedBy>Silvana Marzochi</cp:lastModifiedBy>
  <cp:lastPrinted>2023-06-06T14:40:06Z</cp:lastPrinted>
  <dcterms:created xsi:type="dcterms:W3CDTF">2016-07-29T14:06:48Z</dcterms:created>
  <dcterms:modified xsi:type="dcterms:W3CDTF">2025-10-24T18:20:02Z</dcterms:modified>
</cp:coreProperties>
</file>